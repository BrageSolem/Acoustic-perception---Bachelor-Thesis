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ge\Downloads\"/>
    </mc:Choice>
  </mc:AlternateContent>
  <xr:revisionPtr revIDLastSave="0" documentId="13_ncr:1_{E4586815-CD19-4B0A-98C4-5510D9A735AF}" xr6:coauthVersionLast="47" xr6:coauthVersionMax="47" xr10:uidLastSave="{00000000-0000-0000-0000-000000000000}"/>
  <bookViews>
    <workbookView xWindow="-120" yWindow="-120" windowWidth="38640" windowHeight="21240" tabRatio="660" xr2:uid="{FDA5BF7B-9CD0-4983-ACA0-DC79ECBA6415}"/>
  </bookViews>
  <sheets>
    <sheet name="Oppsummering" sheetId="1" r:id="rId1"/>
    <sheet name="Uke 2" sheetId="2" r:id="rId2"/>
    <sheet name="Uke 3" sheetId="13" r:id="rId3"/>
    <sheet name="Uke 4" sheetId="14" r:id="rId4"/>
    <sheet name="Uke 5" sheetId="15" r:id="rId5"/>
    <sheet name="Uke 6" sheetId="16" r:id="rId6"/>
    <sheet name="Uke 7" sheetId="17" r:id="rId7"/>
    <sheet name="Uke 8" sheetId="18" r:id="rId8"/>
    <sheet name="Uke 9" sheetId="19" r:id="rId9"/>
    <sheet name="Uke 10" sheetId="20" r:id="rId10"/>
    <sheet name="Uke 11" sheetId="21" r:id="rId11"/>
    <sheet name="Uke 12" sheetId="22" r:id="rId12"/>
    <sheet name="Uke 13" sheetId="23" r:id="rId13"/>
    <sheet name="Uke 14" sheetId="24" r:id="rId14"/>
    <sheet name="Uke 15" sheetId="25" r:id="rId15"/>
    <sheet name="Uke 16" sheetId="26" r:id="rId16"/>
    <sheet name="Uke 17" sheetId="27" r:id="rId17"/>
    <sheet name="Uke 18" sheetId="28" r:id="rId18"/>
    <sheet name="Uke 19" sheetId="29" r:id="rId19"/>
    <sheet name="Uke 20" sheetId="3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6" l="1"/>
  <c r="G8" i="1"/>
  <c r="G7" i="1"/>
  <c r="G6" i="1"/>
  <c r="G5" i="1"/>
  <c r="G4" i="1"/>
  <c r="G9" i="1"/>
  <c r="G10" i="1"/>
  <c r="G11" i="1"/>
  <c r="G12" i="1"/>
  <c r="C47" i="13"/>
  <c r="C45" i="13"/>
  <c r="C57" i="13" s="1"/>
  <c r="D5" i="1" s="1"/>
  <c r="B4" i="1"/>
  <c r="C4" i="1"/>
  <c r="C45" i="2"/>
  <c r="C57" i="2"/>
  <c r="D4" i="1" s="1"/>
  <c r="C16" i="1"/>
  <c r="C57" i="30"/>
  <c r="D22" i="1" s="1"/>
  <c r="A57" i="30"/>
  <c r="C38" i="30"/>
  <c r="C22" i="1" s="1"/>
  <c r="A38" i="30"/>
  <c r="C19" i="30"/>
  <c r="B22" i="1" s="1"/>
  <c r="G22" i="1" s="1"/>
  <c r="C57" i="29"/>
  <c r="D21" i="1" s="1"/>
  <c r="A57" i="29"/>
  <c r="C38" i="29"/>
  <c r="C21" i="1" s="1"/>
  <c r="A38" i="29"/>
  <c r="C19" i="29"/>
  <c r="B21" i="1" s="1"/>
  <c r="C57" i="28"/>
  <c r="D20" i="1" s="1"/>
  <c r="A57" i="28"/>
  <c r="C38" i="28"/>
  <c r="C20" i="1" s="1"/>
  <c r="A38" i="28"/>
  <c r="C19" i="28"/>
  <c r="B20" i="1" s="1"/>
  <c r="C57" i="27"/>
  <c r="D19" i="1" s="1"/>
  <c r="A57" i="27"/>
  <c r="C38" i="27"/>
  <c r="C19" i="1" s="1"/>
  <c r="A38" i="27"/>
  <c r="C19" i="27"/>
  <c r="B19" i="1" s="1"/>
  <c r="G19" i="1" s="1"/>
  <c r="C57" i="26"/>
  <c r="D18" i="1" s="1"/>
  <c r="A57" i="26"/>
  <c r="C38" i="26"/>
  <c r="C18" i="1" s="1"/>
  <c r="A38" i="26"/>
  <c r="C19" i="26"/>
  <c r="B18" i="1" s="1"/>
  <c r="C57" i="25"/>
  <c r="D17" i="1" s="1"/>
  <c r="A57" i="25"/>
  <c r="C38" i="25"/>
  <c r="C17" i="1" s="1"/>
  <c r="A38" i="25"/>
  <c r="C19" i="25"/>
  <c r="B17" i="1" s="1"/>
  <c r="C57" i="24"/>
  <c r="D16" i="1" s="1"/>
  <c r="A57" i="24"/>
  <c r="C38" i="24"/>
  <c r="A38" i="24"/>
  <c r="C19" i="24"/>
  <c r="B16" i="1" s="1"/>
  <c r="C57" i="23"/>
  <c r="D15" i="1" s="1"/>
  <c r="A57" i="23"/>
  <c r="C38" i="23"/>
  <c r="C15" i="1" s="1"/>
  <c r="A38" i="23"/>
  <c r="C57" i="22"/>
  <c r="D14" i="1" s="1"/>
  <c r="A57" i="22"/>
  <c r="C38" i="22"/>
  <c r="C14" i="1" s="1"/>
  <c r="A38" i="22"/>
  <c r="C57" i="21"/>
  <c r="D13" i="1" s="1"/>
  <c r="A57" i="21"/>
  <c r="C38" i="21"/>
  <c r="C13" i="1" s="1"/>
  <c r="A38" i="21"/>
  <c r="C57" i="20"/>
  <c r="D12" i="1" s="1"/>
  <c r="A57" i="20"/>
  <c r="C38" i="20"/>
  <c r="C12" i="1" s="1"/>
  <c r="A38" i="20"/>
  <c r="C57" i="19"/>
  <c r="D11" i="1" s="1"/>
  <c r="A57" i="19"/>
  <c r="C38" i="19"/>
  <c r="C11" i="1" s="1"/>
  <c r="A38" i="19"/>
  <c r="C57" i="18"/>
  <c r="D10" i="1" s="1"/>
  <c r="A57" i="18"/>
  <c r="C38" i="18"/>
  <c r="C10" i="1" s="1"/>
  <c r="A38" i="18"/>
  <c r="C57" i="17"/>
  <c r="D9" i="1" s="1"/>
  <c r="A57" i="17"/>
  <c r="C38" i="17"/>
  <c r="C9" i="1" s="1"/>
  <c r="A38" i="17"/>
  <c r="C57" i="16"/>
  <c r="D8" i="1" s="1"/>
  <c r="A57" i="16"/>
  <c r="C38" i="16"/>
  <c r="C8" i="1" s="1"/>
  <c r="A38" i="16"/>
  <c r="C57" i="15"/>
  <c r="D7" i="1" s="1"/>
  <c r="A57" i="15"/>
  <c r="C38" i="15"/>
  <c r="C7" i="1" s="1"/>
  <c r="A38" i="15"/>
  <c r="C57" i="14"/>
  <c r="D6" i="1" s="1"/>
  <c r="A57" i="14"/>
  <c r="C38" i="14"/>
  <c r="C6" i="1" s="1"/>
  <c r="A38" i="14"/>
  <c r="A57" i="13"/>
  <c r="C38" i="13"/>
  <c r="C5" i="1" s="1"/>
  <c r="A38" i="13"/>
  <c r="C19" i="23"/>
  <c r="B15" i="1" s="1"/>
  <c r="C19" i="22"/>
  <c r="B14" i="1" s="1"/>
  <c r="C19" i="21"/>
  <c r="B13" i="1" s="1"/>
  <c r="C19" i="20"/>
  <c r="B12" i="1" s="1"/>
  <c r="C19" i="19"/>
  <c r="B11" i="1" s="1"/>
  <c r="C19" i="18"/>
  <c r="B10" i="1" s="1"/>
  <c r="C19" i="17"/>
  <c r="B9" i="1" s="1"/>
  <c r="C19" i="16"/>
  <c r="B8" i="1" s="1"/>
  <c r="C19" i="15"/>
  <c r="B7" i="1" s="1"/>
  <c r="C19" i="14"/>
  <c r="B6" i="1" s="1"/>
  <c r="C19" i="13"/>
  <c r="B5" i="1" s="1"/>
  <c r="A57" i="2"/>
  <c r="A38" i="2"/>
  <c r="C38" i="2"/>
  <c r="C19" i="2"/>
  <c r="G21" i="1" l="1"/>
  <c r="G20" i="1"/>
  <c r="G18" i="1"/>
  <c r="G17" i="1"/>
  <c r="G16" i="1"/>
  <c r="G15" i="1"/>
  <c r="G14" i="1"/>
  <c r="G13" i="1"/>
  <c r="G23" i="1" s="1"/>
  <c r="E4" i="1"/>
  <c r="B23" i="1"/>
  <c r="E18" i="1"/>
  <c r="E10" i="1"/>
  <c r="E14" i="1"/>
  <c r="E11" i="1"/>
  <c r="E22" i="1"/>
  <c r="E21" i="1"/>
  <c r="E19" i="1"/>
  <c r="E16" i="1"/>
  <c r="E15" i="1"/>
  <c r="E13" i="1"/>
  <c r="E12" i="1"/>
  <c r="D23" i="1"/>
  <c r="E9" i="1"/>
  <c r="E20" i="1"/>
  <c r="E17" i="1"/>
  <c r="C23" i="1"/>
  <c r="E8" i="1"/>
  <c r="E7" i="1"/>
  <c r="E5" i="1"/>
  <c r="E6" i="1"/>
  <c r="E23" i="1" l="1"/>
</calcChain>
</file>

<file path=xl/sharedStrings.xml><?xml version="1.0" encoding="utf-8"?>
<sst xmlns="http://schemas.openxmlformats.org/spreadsheetml/2006/main" count="1005" uniqueCount="428">
  <si>
    <t>Oppsummering av timelister i prosjekt nr:</t>
  </si>
  <si>
    <t>Ukenr</t>
  </si>
  <si>
    <t>Andreas</t>
  </si>
  <si>
    <t>Brage</t>
  </si>
  <si>
    <t>Mateusz</t>
  </si>
  <si>
    <t>Sum timer pr uke</t>
  </si>
  <si>
    <t>gj. antall timer</t>
  </si>
  <si>
    <t>påske</t>
  </si>
  <si>
    <t xml:space="preserve"> </t>
  </si>
  <si>
    <t>INGA eksamen</t>
  </si>
  <si>
    <t>INGA rapport</t>
  </si>
  <si>
    <t>20.05, uke 21</t>
  </si>
  <si>
    <t>rapport innlevering</t>
  </si>
  <si>
    <t>Sum antall timer pr person/totalt</t>
  </si>
  <si>
    <t>ca. gj per person</t>
  </si>
  <si>
    <t>Timelister med statusrapporter</t>
  </si>
  <si>
    <t>Ukerapport</t>
  </si>
  <si>
    <t>Dette skal være en kort beskrivelse av hva hver enkelt i gruppa (med navn) har arbeidet med i siste periode - og også en overordnet vurdering.</t>
  </si>
  <si>
    <t>Timeliste</t>
  </si>
  <si>
    <t>Aktivitet</t>
  </si>
  <si>
    <t>Kategori</t>
  </si>
  <si>
    <t>Antall timer</t>
  </si>
  <si>
    <t>Lesing</t>
  </si>
  <si>
    <t>møter</t>
  </si>
  <si>
    <t>Ukesum uke 2</t>
  </si>
  <si>
    <t>Første møte med bachelorgruppa</t>
  </si>
  <si>
    <t>Møte</t>
  </si>
  <si>
    <t>Oppstartmøte med veilederne og bachelorgruppa</t>
  </si>
  <si>
    <t>Artikellesing og info sammling</t>
  </si>
  <si>
    <t>Selvstudie</t>
  </si>
  <si>
    <t>Møte 09.01 med gruppen</t>
  </si>
  <si>
    <t>Artikkel lesning, lagde notater, Boka om maskinlæring</t>
  </si>
  <si>
    <t>Andre møte den 09.01</t>
  </si>
  <si>
    <t>12.01 gruppe møte</t>
  </si>
  <si>
    <t>møte</t>
  </si>
  <si>
    <t>Selvstendig lesing 12.01</t>
  </si>
  <si>
    <t>Selvstendig lesing 13.01</t>
  </si>
  <si>
    <t>Selvstendig lesing kamera 14.01</t>
  </si>
  <si>
    <t>Ukesum uke 3</t>
  </si>
  <si>
    <t>Møte 12.01 med gruppa</t>
  </si>
  <si>
    <t>Selvstending lesing</t>
  </si>
  <si>
    <t>Møte 14.01 med gruppe og veiledere</t>
  </si>
  <si>
    <t>Lesing og testing av Qt for pyhton</t>
  </si>
  <si>
    <t>Artikel lesing og Python baserte ui</t>
  </si>
  <si>
    <t>12.01 møte med gruppe</t>
  </si>
  <si>
    <t>Artikkel lesing, notater etc</t>
  </si>
  <si>
    <t>MFCC, LPCC</t>
  </si>
  <si>
    <t>Koding</t>
  </si>
  <si>
    <t>14.01 møte med veileder</t>
  </si>
  <si>
    <t>STM32 koding: - PDM2PCM</t>
  </si>
  <si>
    <t>20.01 Møte med veileder</t>
  </si>
  <si>
    <t>21.01 felles skriving av forprosjektet</t>
  </si>
  <si>
    <t>Gruppearbeid</t>
  </si>
  <si>
    <t>19.01 Selvstendig lesing</t>
  </si>
  <si>
    <t>20.01 Skriving av forprosjekt</t>
  </si>
  <si>
    <t>Forprosjekt</t>
  </si>
  <si>
    <t>21.01 Selvstending skriving</t>
  </si>
  <si>
    <t xml:space="preserve">22.01 forprosjekt skriving </t>
  </si>
  <si>
    <t>23.01 Selvstending lesing</t>
  </si>
  <si>
    <t>Planlegging av Kameratracking oppsett</t>
  </si>
  <si>
    <t>Ukesum uke 4</t>
  </si>
  <si>
    <t>Møte med veileder 20.01</t>
  </si>
  <si>
    <t>Forproskjet møte/arbeid med gruppa 21.01</t>
  </si>
  <si>
    <t>Forproskjet arbeid med gruppa 22.01</t>
  </si>
  <si>
    <t>Selvstendig Lesing og testing av Wireframe tool 21.01</t>
  </si>
  <si>
    <t>Basic Wireframe draft 1 21.01 - 22.01</t>
  </si>
  <si>
    <t>Dataset søk 22.01</t>
  </si>
  <si>
    <t>Lesing om Baclherskriving 23.01-25.01</t>
  </si>
  <si>
    <t>Lesing om Maskinlærings metoder23.01-25.01</t>
  </si>
  <si>
    <t>Lesing og testing av Python basert GUI</t>
  </si>
  <si>
    <t>STM32 koding: - PDM2PCM, UART den 19.01</t>
  </si>
  <si>
    <t>20.01 felles skriving av forprosjektet</t>
  </si>
  <si>
    <t>22.01 felles skriving av forprosjektet</t>
  </si>
  <si>
    <t xml:space="preserve">22.01 STM32 koding, usart funker, men uten klokke </t>
  </si>
  <si>
    <t>24.01 STM32 koding og feilsøking (fikset klokke frekvens til mikrofonene, har PD signal igjen )</t>
  </si>
  <si>
    <t>25.01 STM32 koding og feilsøking (Mikrofoner sender lyd, lyden konverteres fra PDM til PCM, men signalet mottat av py skripten er alt for støyende)</t>
  </si>
  <si>
    <t>26.01 Møte i gruppa</t>
  </si>
  <si>
    <t>26.01 Oppsett raspberry pi og Pan/Tilt kamera løsning</t>
  </si>
  <si>
    <t xml:space="preserve">Lånt Raspberry Pi 4B +2 servo motorer. Lånte et kamera til Raspberry som ikke funket. </t>
  </si>
  <si>
    <t xml:space="preserve">28.01 Sett på 3D design av kamera </t>
  </si>
  <si>
    <t>Selvstendig jobbing</t>
  </si>
  <si>
    <t>29.01 Sett på komponenter til utstyrsliste + møte</t>
  </si>
  <si>
    <t xml:space="preserve">Sett nærmere på motordrivere + batteri. </t>
  </si>
  <si>
    <t>30.01 Utstyrslise og møtereferat</t>
  </si>
  <si>
    <t>Ukesum uke 5</t>
  </si>
  <si>
    <t>Leste opp på Rasperipi som webserver og diskuterte planer fra veileder møtet</t>
  </si>
  <si>
    <t>Jobbet mindre en planlagt pga sykdom i sluten av uken</t>
  </si>
  <si>
    <t>26.01 - 27.01 Lesing om masiknlæring metoder og data struktur</t>
  </si>
  <si>
    <t>SelvstendigLesing</t>
  </si>
  <si>
    <t>26.01 Fikse python enviroment og lage GUI skjelett</t>
  </si>
  <si>
    <t>Selvstendig Arbeid</t>
  </si>
  <si>
    <t>28.01 møte med gruppe om framdrifts raport</t>
  </si>
  <si>
    <t>29.01 møte med veileder</t>
  </si>
  <si>
    <t>lesing om Rasperipi</t>
  </si>
  <si>
    <t>lesing om kart for webserver,api</t>
  </si>
  <si>
    <t>Mateusz:</t>
  </si>
  <si>
    <t>Jeg har endelig fått mikrofonene til å samle opp lyden,</t>
  </si>
  <si>
    <t xml:space="preserve">26.01 gruppemøte </t>
  </si>
  <si>
    <t>Jeg har begynt å filtrere signalet med hanning/hamming og båndpass filteret</t>
  </si>
  <si>
    <t xml:space="preserve">26.01 stm32 feilsøking og filtering av signalet samlet av mikrofonene </t>
  </si>
  <si>
    <t>28.01 Felles Fremdriftsrapport skriving</t>
  </si>
  <si>
    <t>28.01 Lesing om STM32</t>
  </si>
  <si>
    <t>29.01 Separasjon av signaler fra mikrofonene fra stm32 til py skript, gcc-phat implementasjon for å detektere retningen dronen kommer fra</t>
  </si>
  <si>
    <t>Koding/lesing</t>
  </si>
  <si>
    <t>30.01 GCC-Phat algoritme, lesing og implementasjon</t>
  </si>
  <si>
    <t xml:space="preserve">31.01 GCC-phat, må teste algorithme med større avstand mellom mikrofonene </t>
  </si>
  <si>
    <t>02.02 Begynt med 3d design</t>
  </si>
  <si>
    <t>03.02 Møtet med gruppa for utstyrsliste</t>
  </si>
  <si>
    <t>03.02 3D design CAD forts.</t>
  </si>
  <si>
    <t>04.02 3D design CAD forts.</t>
  </si>
  <si>
    <t>06.02 3D design CAD forts</t>
  </si>
  <si>
    <t>Ukesum uke 6</t>
  </si>
  <si>
    <t>03.02 Møte med gruppa for utstyrsliste</t>
  </si>
  <si>
    <t>Lesing for forarbeid til webserver</t>
  </si>
  <si>
    <t>Koding for testing før rasperi</t>
  </si>
  <si>
    <t>html page koding</t>
  </si>
  <si>
    <t xml:space="preserve">Mateusz </t>
  </si>
  <si>
    <t>Har gått over fra UART til USB CDC</t>
  </si>
  <si>
    <t xml:space="preserve">02.02 Gcc testing </t>
  </si>
  <si>
    <t xml:space="preserve">Kode </t>
  </si>
  <si>
    <t>GCC funker</t>
  </si>
  <si>
    <t>04.02 Testeing av mikrofoner og kommunikasjonen. Fant en feil med data mengde som overføres fra stm32 til pc</t>
  </si>
  <si>
    <t>05.02 Testing av gcc-phat med 2 mikrofoner. Kan bekrefte hvor lyden kommer fra</t>
  </si>
  <si>
    <t>07.02 Gcc arbeid, omskiriving av interpolering for gcc, implementasjon av USB CDC på stm32</t>
  </si>
  <si>
    <t>08.02 GCC fungerer med 2 mics, Har implementert USB CDC på stm32 som også fungerer</t>
  </si>
  <si>
    <t>10.02 Møte</t>
  </si>
  <si>
    <t>11.02 3D design</t>
  </si>
  <si>
    <t>12.02 møte med gruppen</t>
  </si>
  <si>
    <t>12.02 møte med veileder</t>
  </si>
  <si>
    <t>12.02 3d design forts</t>
  </si>
  <si>
    <t>13.03 fortsettelse 3D design, + sett på kulelager</t>
  </si>
  <si>
    <t>Ukesum uke 7</t>
  </si>
  <si>
    <t>10.02 Møte med medveileder</t>
  </si>
  <si>
    <t>11.02 Lese om Docker for Rassperi Pi</t>
  </si>
  <si>
    <t>lessing</t>
  </si>
  <si>
    <t>12.02 Gruppemøte</t>
  </si>
  <si>
    <t>13.02 lesing ,testing av docker desktop og lignende verktøy</t>
  </si>
  <si>
    <t>lesing og testing</t>
  </si>
  <si>
    <t>14.02 Forarbeid for rasperipi</t>
  </si>
  <si>
    <t>koding og lesing</t>
  </si>
  <si>
    <t>15.02 Lage basic Openstreatmap og docker webpage</t>
  </si>
  <si>
    <t>koding</t>
  </si>
  <si>
    <t>09.02 Testing av GCC med 4 mikrofoner</t>
  </si>
  <si>
    <t>Kode/Testing</t>
  </si>
  <si>
    <t xml:space="preserve">10.02 Testing av GCC, fant ut at alle mikrofonene sender ut signal på raising edge, må fikses før videre arbeid </t>
  </si>
  <si>
    <t>10.02 Veiledermøte</t>
  </si>
  <si>
    <t>11.02 Feilsøking av data fra stm32, funker nå, feilindeksering av verdier sendt til PDM_Filter.</t>
  </si>
  <si>
    <t xml:space="preserve">11.02 FlowChart + notater </t>
  </si>
  <si>
    <t>Tegning</t>
  </si>
  <si>
    <t>12.02 Veiledermøte  og gruppemøte</t>
  </si>
  <si>
    <t>13.02 GCC phat testing med 4 mikrofonene</t>
  </si>
  <si>
    <t xml:space="preserve">13.02 3D og printing </t>
  </si>
  <si>
    <t>3D design</t>
  </si>
  <si>
    <t>14.02 MFCC + GCC + Github opplastinger</t>
  </si>
  <si>
    <t>Kode/Administrativ</t>
  </si>
  <si>
    <t>15.02 3D design av mikrofon stativer</t>
  </si>
  <si>
    <t>16.02 Lån av utstyr, 3d printing, og 3d design</t>
  </si>
  <si>
    <t>18.02 3D printing og design</t>
  </si>
  <si>
    <t>19.02 3D printing og design</t>
  </si>
  <si>
    <t>20.02 3D printing</t>
  </si>
  <si>
    <t>21.02 3D design</t>
  </si>
  <si>
    <t>Ukesum uke 8</t>
  </si>
  <si>
    <t>17.02 lesing om WCAG, ux lover</t>
  </si>
  <si>
    <t>lesing</t>
  </si>
  <si>
    <t>17.02 pørvde og fikse simulert drone markering</t>
  </si>
  <si>
    <t>Koding/testing</t>
  </si>
  <si>
    <t>18.02 gruppe møte</t>
  </si>
  <si>
    <t xml:space="preserve">19.02 Fikset struktur i webapp, og fikset camera </t>
  </si>
  <si>
    <t>20.02 prepping og lesing for raspberrypi</t>
  </si>
  <si>
    <t>22.02 settupp av raspberrypi for webserver( skulle gjøre mer menn ahdde hervære problemb med personlig laptop)</t>
  </si>
  <si>
    <t>22.02 sytling og trubleshoting av webserver code</t>
  </si>
  <si>
    <t>16.02 3D printing + administrativ</t>
  </si>
  <si>
    <t xml:space="preserve">3D printing/ Administrativ </t>
  </si>
  <si>
    <t>16.02 GCC test - gir nå riktig fortegn avhenging av lyd retningen</t>
  </si>
  <si>
    <t>18.02 Gruppemøte</t>
  </si>
  <si>
    <t>18.02 3D printing + administrativt arbeid</t>
  </si>
  <si>
    <t xml:space="preserve">19.02 GCC TDOA to Angle </t>
  </si>
  <si>
    <t>20.02 Rapport skriving</t>
  </si>
  <si>
    <t>Rapport</t>
  </si>
  <si>
    <t xml:space="preserve">20.02 GCC testing </t>
  </si>
  <si>
    <t>21.02 Får tilfedig azimuth, muligens data fra mikrofonene er feil, mulig mics på samme kanal er avhengige av hverandre som ødeleger estimering av retningen :(</t>
  </si>
  <si>
    <t xml:space="preserve">21.02 Fortsatte å feilsøke stm32, fant ut at problemet er feil stacking av bits av peripherial siden f446 har ikke ordentlig PDM protokol, istedet har den en free protokol , som bare hiver bits i nesten tilfeldig rekkefølge så jeg får ikke nøyaktig en bit per mic (|mic1 bit| mic2 bit| mic1 bit| ... ) Har besluttet at jeg må kjøpe STM32H743ZI, som har en integrert SAI PDM </t>
  </si>
  <si>
    <t>23.02 3D design og print</t>
  </si>
  <si>
    <t>25.02 3D design og print</t>
  </si>
  <si>
    <t>26.02 3D design og Print</t>
  </si>
  <si>
    <t>27.02 3D design og oppsett av RPI med AI hatt</t>
  </si>
  <si>
    <t>Ukesum uke 9</t>
  </si>
  <si>
    <t>23.02 GruppeMøte</t>
  </si>
  <si>
    <t>24.02 Raspberry Pi trubleshoting internet</t>
  </si>
  <si>
    <t>25.02 Raspberry Pi trubleshoting internet</t>
  </si>
  <si>
    <t>pain</t>
  </si>
  <si>
    <t>25.02 møte med veileder og mentor</t>
  </si>
  <si>
    <t>25.02 forarbeid/arbeid med dns og https</t>
  </si>
  <si>
    <t>26.02 mer dns,https og ssl jobbing</t>
  </si>
  <si>
    <t>koding/lesing</t>
  </si>
  <si>
    <t>27.02 prøve å få PI til og koble til net/vnc mer en en gang</t>
  </si>
  <si>
    <t>23.02 Kontroll av nye stm32 til bestilling</t>
  </si>
  <si>
    <t>Administrativ</t>
  </si>
  <si>
    <t>25.02 Konversjon av stm32 prosjektet til den nye MCU-en</t>
  </si>
  <si>
    <t>25.02 Veiledermøte</t>
  </si>
  <si>
    <t>26.02  Konversjon av stm32 prosjektet til den nye MCU-en</t>
  </si>
  <si>
    <t>27.02 rapport skriving</t>
  </si>
  <si>
    <t>Jeg var syk mestparten av uka</t>
  </si>
  <si>
    <t>02.03 Kretsdesign</t>
  </si>
  <si>
    <t>PCB design</t>
  </si>
  <si>
    <t>02.03 Assembly av kamera stativ</t>
  </si>
  <si>
    <t>3D printing</t>
  </si>
  <si>
    <t>04.03 Kretsdesign</t>
  </si>
  <si>
    <t>5.03 test av motordriver</t>
  </si>
  <si>
    <t>Test</t>
  </si>
  <si>
    <t>6.03 gruppemøte</t>
  </si>
  <si>
    <t>Ukesum uke 10</t>
  </si>
  <si>
    <t>03.03 webserver/sertifikasjons programering</t>
  </si>
  <si>
    <t>kodding</t>
  </si>
  <si>
    <t>04.03 gruppemøte</t>
  </si>
  <si>
    <t>04.03 webserver/sertifikasjons programering</t>
  </si>
  <si>
    <t>05.03 webserver/sertifikasjons programering</t>
  </si>
  <si>
    <t>06.03 forarbeid go arbied til overføring og testing med PI</t>
  </si>
  <si>
    <t>lessing/koding</t>
  </si>
  <si>
    <t>08.03 arbeid med Pi og trubelshoting</t>
  </si>
  <si>
    <t xml:space="preserve">03.03 3D printing </t>
  </si>
  <si>
    <t xml:space="preserve">3D </t>
  </si>
  <si>
    <t>04.03 PCB design</t>
  </si>
  <si>
    <t>05.03 PCB design</t>
  </si>
  <si>
    <t>06.03 PCB design</t>
  </si>
  <si>
    <t>06.03 Møte</t>
  </si>
  <si>
    <t>07.03 PCB design</t>
  </si>
  <si>
    <t>08.03 PCB design</t>
  </si>
  <si>
    <t>12.02 Møte med veileder</t>
  </si>
  <si>
    <t xml:space="preserve">12.02 Jobbe med pitch </t>
  </si>
  <si>
    <t>09.03 Gruppe møte</t>
  </si>
  <si>
    <t>11.02 gruppemøte</t>
  </si>
  <si>
    <t>Ukesum uke 11</t>
  </si>
  <si>
    <t>09.03 gruppe møte</t>
  </si>
  <si>
    <t xml:space="preserve">Møte </t>
  </si>
  <si>
    <t>09.03 oppset av tensorflow envriement og ML koding</t>
  </si>
  <si>
    <t xml:space="preserve">Koding </t>
  </si>
  <si>
    <t>10.03 Ml Cnn koding</t>
  </si>
  <si>
    <t>11.03 gruppe møte</t>
  </si>
  <si>
    <t>11.03 møtereferat for 25.02 omskriving</t>
  </si>
  <si>
    <t>11.03 ML cnn koding</t>
  </si>
  <si>
    <t>12.03 Veiledermøte</t>
  </si>
  <si>
    <t xml:space="preserve">12.03 Portforwarding lessing </t>
  </si>
  <si>
    <t>09.03 Gruppemøte</t>
  </si>
  <si>
    <t>09.03 PCB design</t>
  </si>
  <si>
    <t>PCB Design</t>
  </si>
  <si>
    <t>09.03 3D design</t>
  </si>
  <si>
    <t>3D Design</t>
  </si>
  <si>
    <t>10.03 PCB design</t>
  </si>
  <si>
    <t>11.03 Gruppe møte</t>
  </si>
  <si>
    <t>11.03 Bestilling av PCB og tilhørende komponenter</t>
  </si>
  <si>
    <t>11.03 3D design</t>
  </si>
  <si>
    <t>12.03 Konversjon av algoritmer til moduler som skal fungere som et helt program</t>
  </si>
  <si>
    <t>13.03 Konversjon av algoritmer til moduler som skal fungere som et helt program</t>
  </si>
  <si>
    <t>14.03 Konversjon av algoritmer til moduler som skal fungere som et helt program</t>
  </si>
  <si>
    <t>16.03 Pitch + jobbing med RPI</t>
  </si>
  <si>
    <t>17.03 Jobbing med RPI</t>
  </si>
  <si>
    <t>18.03 Mer jobbing med RPI</t>
  </si>
  <si>
    <t>22.03 Jobbing med motor driver</t>
  </si>
  <si>
    <t>Ukesum uke 12</t>
  </si>
  <si>
    <t>16.03 møte før Bachelor presentasjoner</t>
  </si>
  <si>
    <t>16.03 Bachelor presentasjoner</t>
  </si>
  <si>
    <t>Presentasjon</t>
  </si>
  <si>
    <t>16.03 ML koding</t>
  </si>
  <si>
    <t>17.03 portforwarding lesing og testing</t>
  </si>
  <si>
    <t>18.03 ML koding</t>
  </si>
  <si>
    <t>19.03 ML koding</t>
  </si>
  <si>
    <t>20.03 ML koding</t>
  </si>
  <si>
    <t>16.03 Konversjon av algoritmer til moduler som skal fungere som et helt program</t>
  </si>
  <si>
    <t>18.03 Konversjon av algoritmer til moduler som skal fungere som et helt program</t>
  </si>
  <si>
    <t>19.03 Konversjon av algoritmer til moduler som skal fungere som et helt program</t>
  </si>
  <si>
    <t>20.03 Konversjon av koden</t>
  </si>
  <si>
    <t>20.03 Rapport skriving</t>
  </si>
  <si>
    <t>21.03 Rapport skriving</t>
  </si>
  <si>
    <t xml:space="preserve">23.03 Jobbing med </t>
  </si>
  <si>
    <t xml:space="preserve">24.03 Jobbing med </t>
  </si>
  <si>
    <t>26.03 Møte med veileder</t>
  </si>
  <si>
    <t>26.03 Jobbing</t>
  </si>
  <si>
    <t>Ukesum uke 13</t>
  </si>
  <si>
    <t>23.03 gruppemøte</t>
  </si>
  <si>
    <t>23.03 Cnn ml koding</t>
  </si>
  <si>
    <t>24.03 Cnn ml koding</t>
  </si>
  <si>
    <t>24.03 lodding av pcb</t>
  </si>
  <si>
    <t>lodding</t>
  </si>
  <si>
    <t>25.03 Cnn ml koding</t>
  </si>
  <si>
    <t>26.03 cnn testinging koding med online data</t>
  </si>
  <si>
    <t>koding og testing</t>
  </si>
  <si>
    <t>26.03 Testing og feilsøking av PCB</t>
  </si>
  <si>
    <t>PCB</t>
  </si>
  <si>
    <t>27.03 Veileder møte</t>
  </si>
  <si>
    <t>27.03 Omskriving av møtereferat</t>
  </si>
  <si>
    <t>23.03 Gruppemøte</t>
  </si>
  <si>
    <t>23.03 Rapport skriving</t>
  </si>
  <si>
    <t>24.03 feilsøking og lodding av PCB</t>
  </si>
  <si>
    <t xml:space="preserve">25.03 Feilsøking av steppermotoren - DONE </t>
  </si>
  <si>
    <t>26/27.03 Redesign av PCB</t>
  </si>
  <si>
    <t>27.03 Redesign av PCB</t>
  </si>
  <si>
    <t>27.03 Bestillinger</t>
  </si>
  <si>
    <t>29.03 STM32 Testing av SAI og konversjon til I2C, SPI</t>
  </si>
  <si>
    <t>Ukesum uke 14</t>
  </si>
  <si>
    <t>"Person nr 2"</t>
  </si>
  <si>
    <t>30.03 STM32 feilsøking, ser ut som det funker nå, men må teste det med GCC</t>
  </si>
  <si>
    <t>10.04 Møte med veileder</t>
  </si>
  <si>
    <t>Ukesum uke 15</t>
  </si>
  <si>
    <t>08.04 teori skriving planleging</t>
  </si>
  <si>
    <t>10.04 Veildermøte</t>
  </si>
  <si>
    <t>16.04 gruppemøte</t>
  </si>
  <si>
    <t>17.04 Lodding av PCB</t>
  </si>
  <si>
    <t>19.04 Lodding + test av PCB</t>
  </si>
  <si>
    <t>Ukesum uke 16</t>
  </si>
  <si>
    <t>13.04 omskriving av 10.04 møtereferat</t>
  </si>
  <si>
    <t>14.04 innhenting av ny data til testing og trening</t>
  </si>
  <si>
    <t>15.04 preping av ny data og endring av trening kode</t>
  </si>
  <si>
    <t xml:space="preserve">koding </t>
  </si>
  <si>
    <t>17.04 Ml koding av ny model</t>
  </si>
  <si>
    <t>18.04 ml koding av ny model og testing med "ny" data</t>
  </si>
  <si>
    <t>17.04 GCC feilsøking</t>
  </si>
  <si>
    <t>17.04 PCB lodding og testing</t>
  </si>
  <si>
    <t>testing</t>
  </si>
  <si>
    <t>18.04 STM32 feilsøking</t>
  </si>
  <si>
    <t>19.04 STM32 feilsøking</t>
  </si>
  <si>
    <t>20.04 gruppemøte</t>
  </si>
  <si>
    <t>20.04 Koding med h.265 enkoding i fokus</t>
  </si>
  <si>
    <t>21.04 Enkoding + YOLO trening</t>
  </si>
  <si>
    <t>22.04 Modellering av systemet</t>
  </si>
  <si>
    <t>24.04 MQTT mellom RPI og Arduino + 3D print</t>
  </si>
  <si>
    <t>25.04 3D design og lodding</t>
  </si>
  <si>
    <t>26.04 Mer lodding og feilsøking av kretskort</t>
  </si>
  <si>
    <t>Ukesum uke 17</t>
  </si>
  <si>
    <t>20.04 ml koding for lagring av ml modeler</t>
  </si>
  <si>
    <t>20.04 pcb lodding</t>
  </si>
  <si>
    <t>21.04 ml standarisering og preping for main</t>
  </si>
  <si>
    <t>21.04 metoder lesing og skriving</t>
  </si>
  <si>
    <t>rapport</t>
  </si>
  <si>
    <t>22.04 lesing av rapport skriving metoder</t>
  </si>
  <si>
    <t>23.04 selvstendig testing</t>
  </si>
  <si>
    <t xml:space="preserve">23.04 ml testing </t>
  </si>
  <si>
    <t>25.04 Ml testing</t>
  </si>
  <si>
    <t>20.04 STM32 feilsøking</t>
  </si>
  <si>
    <t>21.04 STM32 feilsøking</t>
  </si>
  <si>
    <t>22.04 STM32 feilsøking, FUNKER!!!!!!!!</t>
  </si>
  <si>
    <t>23.04 oppdatering av stm32 til å bruke 4 mikrofoner</t>
  </si>
  <si>
    <t>23.04 testing av ml</t>
  </si>
  <si>
    <t xml:space="preserve">25.04 testing av DOA, funker </t>
  </si>
  <si>
    <t>26.04 testing av pcb</t>
  </si>
  <si>
    <t>26.04 Rapport skriving</t>
  </si>
  <si>
    <t>27.03 gruppemøte</t>
  </si>
  <si>
    <t>27.03 Feilsøking PCB</t>
  </si>
  <si>
    <t>29.03 Veileder møte</t>
  </si>
  <si>
    <t>29.3 Oppsett av kamera pipeline + trening av YOLO</t>
  </si>
  <si>
    <t>Ukesum uke 18</t>
  </si>
  <si>
    <t>27.04 Gruppemøte</t>
  </si>
  <si>
    <t>27.04 Rapport skriving</t>
  </si>
  <si>
    <t>skriving</t>
  </si>
  <si>
    <t>28.04 rapport skriving</t>
  </si>
  <si>
    <t>29.04 Rapport skriving</t>
  </si>
  <si>
    <t>30.04 socket programering(webserver)</t>
  </si>
  <si>
    <t>coding</t>
  </si>
  <si>
    <t>02.05 retnigs estimering testing</t>
  </si>
  <si>
    <t>02.05 socket programering</t>
  </si>
  <si>
    <t>03.05 ml testing</t>
  </si>
  <si>
    <t>03.05 testing og lesing med "ødelagt" rasberry</t>
  </si>
  <si>
    <t>30.04 Rapport skriving</t>
  </si>
  <si>
    <t>01.05 Rapport skriving</t>
  </si>
  <si>
    <t>02.05 System testing</t>
  </si>
  <si>
    <t>02.05 Rapport testing</t>
  </si>
  <si>
    <t>03.05 Rapport skriving</t>
  </si>
  <si>
    <t>03.05 System testing</t>
  </si>
  <si>
    <t>07.05 Feilsøking og testing av PCB</t>
  </si>
  <si>
    <t>07.05 Training and testing YOLO model</t>
  </si>
  <si>
    <t>08.05 møte</t>
  </si>
  <si>
    <t>08.05 Rapport skriving + YOLO trening</t>
  </si>
  <si>
    <t>09.05 Rapport skriving + YOLO trening</t>
  </si>
  <si>
    <t>10.05 rapport skriving</t>
  </si>
  <si>
    <t xml:space="preserve">10.05 Overføre YOLO modell til RPI </t>
  </si>
  <si>
    <t>Ukesum uke 19</t>
  </si>
  <si>
    <t>04.05 ml testing of trenig med live data</t>
  </si>
  <si>
    <t xml:space="preserve">05.05 ml testing </t>
  </si>
  <si>
    <t>05.05 Rapport skriving</t>
  </si>
  <si>
    <t>06.05 Rapport skriving</t>
  </si>
  <si>
    <t>07.05 ml testing</t>
  </si>
  <si>
    <t>08.05 ml testing</t>
  </si>
  <si>
    <t>09.05 Rapport skriving</t>
  </si>
  <si>
    <t>04.05 System testing med live drone</t>
  </si>
  <si>
    <t>04.05 Rapport skriving</t>
  </si>
  <si>
    <t xml:space="preserve">rapport </t>
  </si>
  <si>
    <t>07.05 Rapport skriving</t>
  </si>
  <si>
    <t>08.05 Rapport skriving</t>
  </si>
  <si>
    <t>10.05 Rapport skriving</t>
  </si>
  <si>
    <t>08.05 Møte</t>
  </si>
  <si>
    <t>11.05 gruppemøte</t>
  </si>
  <si>
    <t xml:space="preserve">11.05 Overført YOLO model til RPI </t>
  </si>
  <si>
    <t>11.05 Rapport skriving</t>
  </si>
  <si>
    <t xml:space="preserve">12.05 gruppemøte </t>
  </si>
  <si>
    <t xml:space="preserve">12.05 poster </t>
  </si>
  <si>
    <t>12.05 Ferdigstillt kamera pipeline på RPI med objekt gjenkjenning</t>
  </si>
  <si>
    <t>13.05 Feilsøking kretskort, Forberede tester, 3D printing</t>
  </si>
  <si>
    <t xml:space="preserve">13.05 Teste HAILO chip på rpi </t>
  </si>
  <si>
    <t>14.05 Testing av DOA</t>
  </si>
  <si>
    <t>14.05 Bearbeiding av data</t>
  </si>
  <si>
    <t>15.05 Skriving på diskusjonsdelen</t>
  </si>
  <si>
    <t>16.05 Opplasting av kode + skriving på rapport</t>
  </si>
  <si>
    <t>18.05 gruppemøte + misc</t>
  </si>
  <si>
    <t>19.05 Rapport skriving + video presentasjon</t>
  </si>
  <si>
    <t>Ukesum uke 20</t>
  </si>
  <si>
    <t>11.05 gui update med vinkel</t>
  </si>
  <si>
    <t xml:space="preserve">kode </t>
  </si>
  <si>
    <t>12.05 veileder møte</t>
  </si>
  <si>
    <t>12.05 gruppe møte</t>
  </si>
  <si>
    <t>12.05 Rapport skriving</t>
  </si>
  <si>
    <t>12.05 GUI koding, unit test og camera</t>
  </si>
  <si>
    <t>13.05 Rapport skriving</t>
  </si>
  <si>
    <t>13.05-14.05 gui koding, camra display</t>
  </si>
  <si>
    <t>13.05-14.05 python envirement for test</t>
  </si>
  <si>
    <t>14.05 live test med drone, og data oppload fra test</t>
  </si>
  <si>
    <t xml:space="preserve">15.04-17.04 rapport skriving </t>
  </si>
  <si>
    <t>18.05 Rapport skriving  + møte + admin tasks</t>
  </si>
  <si>
    <t>19.05 Rapport + video presentasjon + møte</t>
  </si>
  <si>
    <t>12.05 Div meetings</t>
  </si>
  <si>
    <t>administrativ</t>
  </si>
  <si>
    <t xml:space="preserve">14.05 Test </t>
  </si>
  <si>
    <t>Testing</t>
  </si>
  <si>
    <t>14.05 Rapport skriving</t>
  </si>
  <si>
    <t>15.05 Rapport skriving</t>
  </si>
  <si>
    <t>16.05 Rapport skriving</t>
  </si>
  <si>
    <t>17.05 Rapport skriving</t>
  </si>
  <si>
    <t>18.05 Rapport skriving  + møte</t>
  </si>
  <si>
    <t>19.05 Rapport + video presentasjon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</si>
</sst>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Consolas"/>
      <charset val="1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  <font>
      <sz val="12"/>
      <color theme="1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1" xfId="0" applyNumberFormat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/>
    </xf>
    <xf numFmtId="0" fontId="7" fillId="0" borderId="0" xfId="0" applyFont="1"/>
    <xf numFmtId="0" fontId="0" fillId="0" borderId="4" xfId="0" applyBorder="1"/>
    <xf numFmtId="0" fontId="8" fillId="0" borderId="5" xfId="0" applyFont="1" applyBorder="1"/>
    <xf numFmtId="0" fontId="8" fillId="0" borderId="6" xfId="0" applyFont="1" applyBorder="1"/>
    <xf numFmtId="0" fontId="9" fillId="0" borderId="0" xfId="0" applyFont="1" applyAlignment="1">
      <alignment wrapText="1"/>
    </xf>
    <xf numFmtId="0" fontId="8" fillId="0" borderId="0" xfId="0" applyFont="1"/>
    <xf numFmtId="0" fontId="10" fillId="0" borderId="0" xfId="0" applyFont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853B-C169-4181-BEED-7E274EC355C6}">
  <dimension ref="A1:K23"/>
  <sheetViews>
    <sheetView tabSelected="1" workbookViewId="0">
      <selection activeCell="C27" sqref="C27"/>
    </sheetView>
  </sheetViews>
  <sheetFormatPr baseColWidth="10" defaultColWidth="11.42578125" defaultRowHeight="22.5" customHeight="1" x14ac:dyDescent="0.25"/>
  <cols>
    <col min="1" max="1" width="18.140625" customWidth="1"/>
    <col min="2" max="4" width="13.5703125" customWidth="1"/>
    <col min="5" max="5" width="16.28515625" bestFit="1" customWidth="1"/>
  </cols>
  <sheetData>
    <row r="1" spans="1:9" ht="22.5" customHeight="1" x14ac:dyDescent="0.35">
      <c r="A1" s="3" t="s">
        <v>0</v>
      </c>
    </row>
    <row r="3" spans="1:9" ht="22.5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G3" t="s">
        <v>6</v>
      </c>
    </row>
    <row r="4" spans="1:9" ht="22.5" customHeight="1" x14ac:dyDescent="0.25">
      <c r="A4" s="13">
        <v>2</v>
      </c>
      <c r="B4" s="14">
        <f>'Uke 2'!C19</f>
        <v>10</v>
      </c>
      <c r="C4" s="14">
        <f>'Uke 2'!C38</f>
        <v>9</v>
      </c>
      <c r="D4" s="17">
        <f>'Uke 2'!C57</f>
        <v>11.5</v>
      </c>
      <c r="E4" s="16">
        <f>SUM(B4:D4)</f>
        <v>30.5</v>
      </c>
      <c r="G4">
        <f t="shared" ref="G4:G12" si="0">(D4+C4+B4)/3</f>
        <v>10.166666666666666</v>
      </c>
    </row>
    <row r="5" spans="1:9" ht="22.5" customHeight="1" x14ac:dyDescent="0.25">
      <c r="A5" s="13">
        <v>3</v>
      </c>
      <c r="B5" s="14">
        <f>'Uke 3'!C19</f>
        <v>13</v>
      </c>
      <c r="C5" s="14">
        <f>'Uke 3'!C38</f>
        <v>10</v>
      </c>
      <c r="D5" s="14">
        <f>'Uke 3'!C57</f>
        <v>15.5</v>
      </c>
      <c r="E5" s="16">
        <f t="shared" ref="E5:E22" si="1">SUM(B5:D5)</f>
        <v>38.5</v>
      </c>
      <c r="G5">
        <f t="shared" si="0"/>
        <v>12.833333333333334</v>
      </c>
    </row>
    <row r="6" spans="1:9" ht="22.5" customHeight="1" x14ac:dyDescent="0.25">
      <c r="A6" s="13">
        <v>4</v>
      </c>
      <c r="B6" s="14">
        <f>'Uke 4'!C19</f>
        <v>17.5</v>
      </c>
      <c r="C6" s="14">
        <f>'Uke 4'!C38</f>
        <v>23</v>
      </c>
      <c r="D6" s="14">
        <f>'Uke 4'!C57</f>
        <v>24.5</v>
      </c>
      <c r="E6" s="16">
        <f t="shared" si="1"/>
        <v>65</v>
      </c>
      <c r="G6">
        <f t="shared" si="0"/>
        <v>21.666666666666668</v>
      </c>
    </row>
    <row r="7" spans="1:9" ht="22.5" customHeight="1" x14ac:dyDescent="0.25">
      <c r="A7" s="13">
        <v>5</v>
      </c>
      <c r="B7" s="14">
        <f>'Uke 5'!C19</f>
        <v>21</v>
      </c>
      <c r="C7" s="14">
        <f>'Uke 5'!C38</f>
        <v>15</v>
      </c>
      <c r="D7" s="14">
        <f>'Uke 5'!C57</f>
        <v>18</v>
      </c>
      <c r="E7" s="16">
        <f t="shared" si="1"/>
        <v>54</v>
      </c>
      <c r="G7">
        <f t="shared" si="0"/>
        <v>18</v>
      </c>
    </row>
    <row r="8" spans="1:9" ht="22.5" customHeight="1" x14ac:dyDescent="0.25">
      <c r="A8" s="13">
        <v>6</v>
      </c>
      <c r="B8" s="14">
        <f>'Uke 6'!C19</f>
        <v>18</v>
      </c>
      <c r="C8" s="14">
        <f>'Uke 6'!C38</f>
        <v>15.5</v>
      </c>
      <c r="D8" s="14">
        <f>'Uke 6'!C57</f>
        <v>18</v>
      </c>
      <c r="E8" s="16">
        <f t="shared" si="1"/>
        <v>51.5</v>
      </c>
      <c r="G8">
        <f t="shared" si="0"/>
        <v>17.166666666666668</v>
      </c>
    </row>
    <row r="9" spans="1:9" ht="22.5" customHeight="1" x14ac:dyDescent="0.25">
      <c r="A9" s="13">
        <v>7</v>
      </c>
      <c r="B9" s="14">
        <f>'Uke 7'!C19</f>
        <v>17</v>
      </c>
      <c r="C9" s="14">
        <f>'Uke 7'!C38</f>
        <v>19</v>
      </c>
      <c r="D9" s="14">
        <f>'Uke 7'!C57</f>
        <v>26</v>
      </c>
      <c r="E9" s="16">
        <f t="shared" si="1"/>
        <v>62</v>
      </c>
      <c r="G9">
        <f t="shared" si="0"/>
        <v>20.666666666666668</v>
      </c>
    </row>
    <row r="10" spans="1:9" ht="22.5" customHeight="1" x14ac:dyDescent="0.25">
      <c r="A10" s="13">
        <v>8</v>
      </c>
      <c r="B10" s="14">
        <f>'Uke 8'!C19</f>
        <v>21</v>
      </c>
      <c r="C10" s="14">
        <f>'Uke 8'!C38</f>
        <v>20</v>
      </c>
      <c r="D10" s="14">
        <f>'Uke 8'!C57</f>
        <v>36</v>
      </c>
      <c r="E10" s="16">
        <f t="shared" si="1"/>
        <v>77</v>
      </c>
      <c r="G10">
        <f t="shared" si="0"/>
        <v>25.666666666666668</v>
      </c>
    </row>
    <row r="11" spans="1:9" ht="22.5" customHeight="1" x14ac:dyDescent="0.25">
      <c r="A11" s="13">
        <v>9</v>
      </c>
      <c r="B11" s="14">
        <f>'Uke 9'!C19</f>
        <v>20</v>
      </c>
      <c r="C11" s="14">
        <f>'Uke 9'!C38</f>
        <v>17.5</v>
      </c>
      <c r="D11" s="14">
        <f>'Uke 9'!C57</f>
        <v>8.5</v>
      </c>
      <c r="E11" s="16">
        <f t="shared" si="1"/>
        <v>46</v>
      </c>
      <c r="G11">
        <f t="shared" si="0"/>
        <v>15.333333333333334</v>
      </c>
    </row>
    <row r="12" spans="1:9" ht="22.5" customHeight="1" x14ac:dyDescent="0.25">
      <c r="A12" s="13">
        <v>10</v>
      </c>
      <c r="B12" s="14">
        <f>'Uke 10'!C19</f>
        <v>22</v>
      </c>
      <c r="C12" s="14">
        <f>'Uke 10'!C38</f>
        <v>22.5</v>
      </c>
      <c r="D12" s="14">
        <f>'Uke 10'!C57</f>
        <v>26</v>
      </c>
      <c r="E12" s="16">
        <f t="shared" si="1"/>
        <v>70.5</v>
      </c>
      <c r="G12">
        <f t="shared" si="0"/>
        <v>23.5</v>
      </c>
    </row>
    <row r="13" spans="1:9" ht="22.5" customHeight="1" x14ac:dyDescent="0.25">
      <c r="A13" s="13">
        <v>11</v>
      </c>
      <c r="B13" s="14">
        <f>'Uke 11'!C19</f>
        <v>6.5</v>
      </c>
      <c r="C13" s="14">
        <f>'Uke 11'!C38</f>
        <v>20.5</v>
      </c>
      <c r="D13" s="14">
        <f>'Uke 11'!C57</f>
        <v>21</v>
      </c>
      <c r="E13" s="16">
        <f t="shared" si="1"/>
        <v>48</v>
      </c>
      <c r="G13">
        <f>(B13+C13+D13)/3</f>
        <v>16</v>
      </c>
    </row>
    <row r="14" spans="1:9" ht="22.5" customHeight="1" x14ac:dyDescent="0.25">
      <c r="A14" s="13">
        <v>12</v>
      </c>
      <c r="B14" s="14">
        <f>'Uke 12'!C19</f>
        <v>21</v>
      </c>
      <c r="C14" s="14">
        <f>'Uke 12'!C38</f>
        <v>19.5</v>
      </c>
      <c r="D14" s="14">
        <f>'Uke 12'!C57</f>
        <v>18</v>
      </c>
      <c r="E14" s="16">
        <f t="shared" si="1"/>
        <v>58.5</v>
      </c>
      <c r="G14">
        <f t="shared" ref="G14:G22" si="2">(B14+C14+D14)/3</f>
        <v>19.5</v>
      </c>
    </row>
    <row r="15" spans="1:9" ht="22.5" customHeight="1" x14ac:dyDescent="0.25">
      <c r="A15" s="13">
        <v>13</v>
      </c>
      <c r="B15" s="14">
        <f>'Uke 13'!C19</f>
        <v>16</v>
      </c>
      <c r="C15" s="14">
        <f>'Uke 13'!C38</f>
        <v>23.3</v>
      </c>
      <c r="D15" s="14">
        <f>'Uke 13'!C57</f>
        <v>28.5</v>
      </c>
      <c r="E15" s="16">
        <f t="shared" si="1"/>
        <v>67.8</v>
      </c>
      <c r="G15">
        <f t="shared" si="2"/>
        <v>22.599999999999998</v>
      </c>
    </row>
    <row r="16" spans="1:9" ht="22.5" customHeight="1" x14ac:dyDescent="0.25">
      <c r="A16" s="13">
        <v>14</v>
      </c>
      <c r="B16" s="14">
        <f>'Uke 14'!C19</f>
        <v>0</v>
      </c>
      <c r="C16" s="14">
        <f>'Uke 14'!C38</f>
        <v>0</v>
      </c>
      <c r="D16" s="14">
        <f>'Uke 14'!C57</f>
        <v>9</v>
      </c>
      <c r="E16" s="16">
        <f t="shared" si="1"/>
        <v>9</v>
      </c>
      <c r="G16">
        <f t="shared" si="2"/>
        <v>3</v>
      </c>
      <c r="I16" t="s">
        <v>7</v>
      </c>
    </row>
    <row r="17" spans="1:11" ht="22.5" customHeight="1" x14ac:dyDescent="0.25">
      <c r="A17" s="13">
        <v>15</v>
      </c>
      <c r="B17" s="14">
        <f>'Uke 15'!C19</f>
        <v>0.5</v>
      </c>
      <c r="C17" s="14">
        <f>'Uke 15'!C38</f>
        <v>2.5</v>
      </c>
      <c r="D17" s="14">
        <f>'Uke 15'!C57</f>
        <v>1</v>
      </c>
      <c r="E17" s="16">
        <f t="shared" si="1"/>
        <v>4</v>
      </c>
      <c r="G17">
        <f t="shared" si="2"/>
        <v>1.3333333333333333</v>
      </c>
      <c r="K17" t="s">
        <v>8</v>
      </c>
    </row>
    <row r="18" spans="1:11" ht="22.5" customHeight="1" x14ac:dyDescent="0.25">
      <c r="A18" s="13">
        <v>16</v>
      </c>
      <c r="B18" s="14">
        <f>'Uke 16'!C19</f>
        <v>8</v>
      </c>
      <c r="C18" s="14">
        <f>'Uke 16'!C38</f>
        <v>19</v>
      </c>
      <c r="D18" s="14">
        <f>'Uke 16'!C57</f>
        <v>28</v>
      </c>
      <c r="E18" s="16">
        <f t="shared" si="1"/>
        <v>55</v>
      </c>
      <c r="G18">
        <f t="shared" si="2"/>
        <v>18.333333333333332</v>
      </c>
      <c r="I18" t="s">
        <v>9</v>
      </c>
      <c r="J18">
        <v>16.04</v>
      </c>
    </row>
    <row r="19" spans="1:11" ht="22.5" customHeight="1" x14ac:dyDescent="0.25">
      <c r="A19" s="13">
        <v>17</v>
      </c>
      <c r="B19" s="14">
        <f>'Uke 17'!C19</f>
        <v>27.5</v>
      </c>
      <c r="C19" s="14">
        <f>'Uke 17'!C38</f>
        <v>22</v>
      </c>
      <c r="D19" s="14">
        <f>'Uke 17'!C57</f>
        <v>23</v>
      </c>
      <c r="E19" s="16">
        <f t="shared" si="1"/>
        <v>72.5</v>
      </c>
      <c r="G19">
        <f t="shared" si="2"/>
        <v>24.166666666666668</v>
      </c>
    </row>
    <row r="20" spans="1:11" ht="22.5" customHeight="1" x14ac:dyDescent="0.25">
      <c r="A20" s="13">
        <v>18</v>
      </c>
      <c r="B20" s="14">
        <f>'Uke 18'!C19</f>
        <v>9.5</v>
      </c>
      <c r="C20" s="14">
        <f>'Uke 18'!C38</f>
        <v>18</v>
      </c>
      <c r="D20" s="14">
        <f>'Uke 18'!C57</f>
        <v>19.5</v>
      </c>
      <c r="E20" s="16">
        <f t="shared" si="1"/>
        <v>47</v>
      </c>
      <c r="G20">
        <f t="shared" si="2"/>
        <v>15.666666666666666</v>
      </c>
      <c r="I20" t="s">
        <v>10</v>
      </c>
      <c r="J20">
        <v>30.04</v>
      </c>
    </row>
    <row r="21" spans="1:11" ht="22.5" customHeight="1" x14ac:dyDescent="0.25">
      <c r="A21" s="13">
        <v>19</v>
      </c>
      <c r="B21" s="14">
        <f>'Uke 19'!C19</f>
        <v>26</v>
      </c>
      <c r="C21" s="14">
        <f>'Uke 19'!C38</f>
        <v>24</v>
      </c>
      <c r="D21" s="14">
        <f>'Uke 19'!C57</f>
        <v>26</v>
      </c>
      <c r="E21" s="16">
        <f t="shared" si="1"/>
        <v>76</v>
      </c>
      <c r="G21">
        <f t="shared" si="2"/>
        <v>25.333333333333332</v>
      </c>
    </row>
    <row r="22" spans="1:11" ht="22.5" customHeight="1" x14ac:dyDescent="0.25">
      <c r="A22" s="13">
        <v>20</v>
      </c>
      <c r="B22" s="14">
        <f>'Uke 20'!C19</f>
        <v>47.5</v>
      </c>
      <c r="C22" s="14">
        <f>'Uke 20'!C38</f>
        <v>39</v>
      </c>
      <c r="D22" s="14">
        <f>'Uke 20'!C57</f>
        <v>39.5</v>
      </c>
      <c r="E22" s="16">
        <f t="shared" si="1"/>
        <v>126</v>
      </c>
      <c r="G22">
        <f t="shared" si="2"/>
        <v>42</v>
      </c>
      <c r="I22" t="s">
        <v>11</v>
      </c>
      <c r="J22" t="s">
        <v>12</v>
      </c>
    </row>
    <row r="23" spans="1:11" s="4" customFormat="1" ht="30" customHeight="1" x14ac:dyDescent="0.25">
      <c r="A23" s="15" t="s">
        <v>13</v>
      </c>
      <c r="B23" s="16">
        <f>SUM(B4:B22)</f>
        <v>322</v>
      </c>
      <c r="C23" s="16">
        <f t="shared" ref="C23:D23" si="3">SUM(C4:C22)</f>
        <v>339.3</v>
      </c>
      <c r="D23" s="16">
        <f t="shared" si="3"/>
        <v>397.5</v>
      </c>
      <c r="E23" s="16">
        <f>SUM(E4:E22)</f>
        <v>1058.8</v>
      </c>
      <c r="G23" s="4">
        <f>G9+G10+G11+G12+G14+G15+G13+G16+G18+G17+G19+G20+G21+G22+G8+G7+G6+G5+G4</f>
        <v>352.93333333333339</v>
      </c>
      <c r="H23" s="4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44C7-C58B-4865-BA4D-DE664E48D318}">
  <dimension ref="A1:F57"/>
  <sheetViews>
    <sheetView workbookViewId="0">
      <selection activeCell="A29" sqref="A29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22</v>
      </c>
      <c r="B5" s="1"/>
      <c r="C5" s="6">
        <v>8</v>
      </c>
    </row>
    <row r="6" spans="1:6" ht="18" customHeight="1" x14ac:dyDescent="0.25">
      <c r="A6" s="1" t="s">
        <v>23</v>
      </c>
      <c r="B6" s="1"/>
      <c r="C6" s="6">
        <v>2</v>
      </c>
    </row>
    <row r="7" spans="1:6" ht="18" customHeight="1" x14ac:dyDescent="0.25">
      <c r="A7" s="1"/>
      <c r="B7" s="1"/>
      <c r="C7" s="6"/>
    </row>
    <row r="8" spans="1:6" ht="18" customHeight="1" x14ac:dyDescent="0.25">
      <c r="A8" s="1"/>
      <c r="B8" s="1"/>
      <c r="C8" s="6"/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24</v>
      </c>
      <c r="B19" s="2"/>
      <c r="C19" s="7">
        <f>SUM(C5:C18)</f>
        <v>10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25</v>
      </c>
      <c r="B24" s="1" t="s">
        <v>26</v>
      </c>
      <c r="C24" s="6">
        <v>2</v>
      </c>
    </row>
    <row r="25" spans="1:6" ht="18" customHeight="1" x14ac:dyDescent="0.25">
      <c r="A25" s="1" t="s">
        <v>27</v>
      </c>
      <c r="B25" s="1" t="s">
        <v>26</v>
      </c>
      <c r="C25" s="6">
        <v>1</v>
      </c>
    </row>
    <row r="26" spans="1:6" ht="18" customHeight="1" x14ac:dyDescent="0.25">
      <c r="A26" s="1" t="s">
        <v>28</v>
      </c>
      <c r="B26" s="1" t="s">
        <v>29</v>
      </c>
      <c r="C26" s="6">
        <v>4</v>
      </c>
    </row>
    <row r="27" spans="1:6" ht="18" customHeight="1" x14ac:dyDescent="0.25">
      <c r="A27" s="1" t="s">
        <v>30</v>
      </c>
      <c r="B27" s="1" t="s">
        <v>26</v>
      </c>
      <c r="C27" s="6">
        <v>2</v>
      </c>
    </row>
    <row r="28" spans="1:6" ht="18" customHeight="1" x14ac:dyDescent="0.25">
      <c r="A28" s="1"/>
      <c r="B28" s="1"/>
      <c r="C28" s="6"/>
    </row>
    <row r="29" spans="1:6" ht="18" customHeight="1" x14ac:dyDescent="0.25">
      <c r="A29" s="1"/>
      <c r="B29" s="1"/>
      <c r="C29" s="6"/>
    </row>
    <row r="30" spans="1:6" ht="18" customHeight="1" x14ac:dyDescent="0.25">
      <c r="A30" s="1"/>
      <c r="B30" s="1"/>
      <c r="C30" s="6"/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2</v>
      </c>
      <c r="B38" s="2"/>
      <c r="C38" s="7">
        <f>SUM(C24:C37)</f>
        <v>9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25</v>
      </c>
      <c r="B43" s="1" t="s">
        <v>26</v>
      </c>
      <c r="C43" s="6">
        <v>2</v>
      </c>
    </row>
    <row r="44" spans="1:6" ht="18" customHeight="1" x14ac:dyDescent="0.25">
      <c r="A44" s="1" t="s">
        <v>27</v>
      </c>
      <c r="B44" s="1" t="s">
        <v>26</v>
      </c>
      <c r="C44" s="6">
        <v>1</v>
      </c>
    </row>
    <row r="45" spans="1:6" ht="18" customHeight="1" x14ac:dyDescent="0.25">
      <c r="A45" s="1" t="s">
        <v>31</v>
      </c>
      <c r="B45" s="1" t="s">
        <v>29</v>
      </c>
      <c r="C45" s="6">
        <f>2+2+1.5+1</f>
        <v>6.5</v>
      </c>
    </row>
    <row r="46" spans="1:6" ht="18" customHeight="1" x14ac:dyDescent="0.25">
      <c r="A46" s="1" t="s">
        <v>32</v>
      </c>
      <c r="B46" s="1" t="s">
        <v>26</v>
      </c>
      <c r="C46" s="6">
        <v>2</v>
      </c>
    </row>
    <row r="47" spans="1:6" ht="18" customHeight="1" x14ac:dyDescent="0.25">
      <c r="A47" s="1"/>
      <c r="B47" s="1"/>
      <c r="C47" s="6"/>
    </row>
    <row r="48" spans="1:6" ht="18" customHeight="1" x14ac:dyDescent="0.25">
      <c r="A48" s="1"/>
      <c r="B48" s="1"/>
      <c r="C48" s="6"/>
    </row>
    <row r="49" spans="1:6" ht="18" customHeight="1" x14ac:dyDescent="0.25">
      <c r="A49" s="1"/>
      <c r="B49" s="1"/>
      <c r="C49" s="6"/>
    </row>
    <row r="50" spans="1:6" ht="18" customHeight="1" x14ac:dyDescent="0.25">
      <c r="A50" s="1"/>
      <c r="B50" s="1"/>
      <c r="C50" s="6"/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2</v>
      </c>
      <c r="B57" s="2"/>
      <c r="C57" s="7">
        <f>SUM(C43:C56)</f>
        <v>11.5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285B-7F58-437B-BB5E-6CF4AA3E548F}">
  <dimension ref="A1:F57"/>
  <sheetViews>
    <sheetView topLeftCell="A29" workbookViewId="0">
      <selection activeCell="B44" sqref="B44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33</v>
      </c>
      <c r="B5" s="1" t="s">
        <v>34</v>
      </c>
      <c r="C5" s="6">
        <v>1</v>
      </c>
    </row>
    <row r="6" spans="1:6" ht="18" customHeight="1" x14ac:dyDescent="0.25">
      <c r="A6" s="1" t="s">
        <v>35</v>
      </c>
      <c r="B6" s="1"/>
      <c r="C6" s="6">
        <v>4</v>
      </c>
    </row>
    <row r="7" spans="1:6" ht="18" customHeight="1" x14ac:dyDescent="0.25">
      <c r="A7" s="1" t="s">
        <v>36</v>
      </c>
      <c r="B7" s="1"/>
      <c r="C7" s="6">
        <v>4</v>
      </c>
    </row>
    <row r="8" spans="1:6" ht="18" customHeight="1" x14ac:dyDescent="0.25">
      <c r="A8" s="1" t="s">
        <v>37</v>
      </c>
      <c r="B8" s="1"/>
      <c r="C8" s="6">
        <v>4</v>
      </c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38</v>
      </c>
      <c r="B19" s="2"/>
      <c r="C19" s="7">
        <f>SUM(C5:C18)</f>
        <v>13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39</v>
      </c>
      <c r="B24" s="1" t="s">
        <v>26</v>
      </c>
      <c r="C24" s="6">
        <v>1</v>
      </c>
    </row>
    <row r="25" spans="1:6" ht="18" customHeight="1" x14ac:dyDescent="0.25">
      <c r="A25" s="1" t="s">
        <v>40</v>
      </c>
      <c r="B25" s="1" t="s">
        <v>29</v>
      </c>
      <c r="C25" s="6">
        <v>1</v>
      </c>
    </row>
    <row r="26" spans="1:6" ht="18" customHeight="1" x14ac:dyDescent="0.25">
      <c r="A26" s="1" t="s">
        <v>41</v>
      </c>
      <c r="B26" s="1" t="s">
        <v>26</v>
      </c>
      <c r="C26" s="6">
        <v>1</v>
      </c>
    </row>
    <row r="27" spans="1:6" ht="18" customHeight="1" x14ac:dyDescent="0.25">
      <c r="A27" s="1" t="s">
        <v>42</v>
      </c>
      <c r="B27" s="1" t="s">
        <v>29</v>
      </c>
      <c r="C27" s="6">
        <v>1</v>
      </c>
    </row>
    <row r="28" spans="1:6" ht="18" customHeight="1" x14ac:dyDescent="0.25">
      <c r="A28" s="18" t="s">
        <v>43</v>
      </c>
      <c r="B28" s="1" t="s">
        <v>29</v>
      </c>
      <c r="C28" s="6">
        <v>6</v>
      </c>
    </row>
    <row r="29" spans="1:6" ht="18" customHeight="1" x14ac:dyDescent="0.25">
      <c r="A29" s="1"/>
      <c r="B29" s="1"/>
      <c r="C29" s="6"/>
    </row>
    <row r="30" spans="1:6" ht="18" customHeight="1" x14ac:dyDescent="0.25">
      <c r="A30" s="1"/>
      <c r="B30" s="1"/>
      <c r="C30" s="6"/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3</v>
      </c>
      <c r="B38" s="2"/>
      <c r="C38" s="7">
        <f>SUM(C24:C37)</f>
        <v>10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44</v>
      </c>
      <c r="B43" s="1" t="s">
        <v>26</v>
      </c>
      <c r="C43" s="6">
        <v>1</v>
      </c>
    </row>
    <row r="44" spans="1:6" ht="18" customHeight="1" x14ac:dyDescent="0.25">
      <c r="A44" s="1" t="s">
        <v>45</v>
      </c>
      <c r="B44" s="1" t="s">
        <v>29</v>
      </c>
      <c r="C44" s="6">
        <v>1</v>
      </c>
    </row>
    <row r="45" spans="1:6" ht="18" customHeight="1" x14ac:dyDescent="0.25">
      <c r="A45" s="1" t="s">
        <v>46</v>
      </c>
      <c r="B45" s="1" t="s">
        <v>47</v>
      </c>
      <c r="C45" s="6">
        <f>2.5+2+1</f>
        <v>5.5</v>
      </c>
    </row>
    <row r="46" spans="1:6" ht="18" customHeight="1" x14ac:dyDescent="0.25">
      <c r="A46" s="1" t="s">
        <v>48</v>
      </c>
      <c r="B46" s="1" t="s">
        <v>26</v>
      </c>
      <c r="C46" s="6">
        <v>1</v>
      </c>
    </row>
    <row r="47" spans="1:6" ht="18" customHeight="1" x14ac:dyDescent="0.25">
      <c r="A47" s="1" t="s">
        <v>49</v>
      </c>
      <c r="B47" s="1" t="s">
        <v>47</v>
      </c>
      <c r="C47" s="6">
        <f>3+4</f>
        <v>7</v>
      </c>
    </row>
    <row r="48" spans="1:6" ht="18" customHeight="1" x14ac:dyDescent="0.25">
      <c r="A48" s="1"/>
      <c r="B48" s="1"/>
      <c r="C48" s="6"/>
    </row>
    <row r="49" spans="1:6" ht="18" customHeight="1" x14ac:dyDescent="0.25">
      <c r="A49" s="1"/>
      <c r="B49" s="1"/>
      <c r="C49" s="6"/>
    </row>
    <row r="50" spans="1:6" ht="18" customHeight="1" x14ac:dyDescent="0.25">
      <c r="A50" s="1"/>
      <c r="B50" s="1"/>
      <c r="C50" s="6"/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3</v>
      </c>
      <c r="B57" s="2"/>
      <c r="C57" s="7">
        <f>SUM(C43:C56)</f>
        <v>15.5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7B33-B6FD-4E9D-ABFB-755C63041B95}">
  <dimension ref="A1:F57"/>
  <sheetViews>
    <sheetView topLeftCell="A23" workbookViewId="0">
      <selection activeCell="F29" sqref="F29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50</v>
      </c>
      <c r="B5" s="1" t="s">
        <v>26</v>
      </c>
      <c r="C5" s="6">
        <v>0.5</v>
      </c>
    </row>
    <row r="6" spans="1:6" ht="18" customHeight="1" x14ac:dyDescent="0.25">
      <c r="A6" s="1" t="s">
        <v>51</v>
      </c>
      <c r="B6" s="1" t="s">
        <v>52</v>
      </c>
      <c r="C6" s="6">
        <v>2</v>
      </c>
    </row>
    <row r="7" spans="1:6" ht="18" customHeight="1" x14ac:dyDescent="0.25">
      <c r="A7" s="1" t="s">
        <v>53</v>
      </c>
      <c r="B7" s="1" t="s">
        <v>22</v>
      </c>
      <c r="C7" s="6">
        <v>4</v>
      </c>
    </row>
    <row r="8" spans="1:6" ht="18" customHeight="1" x14ac:dyDescent="0.25">
      <c r="A8" s="1" t="s">
        <v>54</v>
      </c>
      <c r="B8" s="1" t="s">
        <v>55</v>
      </c>
      <c r="C8" s="6">
        <v>1.5</v>
      </c>
    </row>
    <row r="9" spans="1:6" ht="18" customHeight="1" x14ac:dyDescent="0.25">
      <c r="A9" s="1" t="s">
        <v>56</v>
      </c>
      <c r="B9" s="1" t="s">
        <v>55</v>
      </c>
      <c r="C9" s="6">
        <v>2.5</v>
      </c>
    </row>
    <row r="10" spans="1:6" ht="18" customHeight="1" x14ac:dyDescent="0.25">
      <c r="A10" s="1" t="s">
        <v>57</v>
      </c>
      <c r="B10" s="1" t="s">
        <v>55</v>
      </c>
      <c r="C10" s="6">
        <v>3</v>
      </c>
    </row>
    <row r="11" spans="1:6" ht="18" customHeight="1" x14ac:dyDescent="0.25">
      <c r="A11" s="1" t="s">
        <v>58</v>
      </c>
      <c r="B11" s="1" t="s">
        <v>59</v>
      </c>
      <c r="C11" s="6">
        <v>4</v>
      </c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60</v>
      </c>
      <c r="B19" s="2"/>
      <c r="C19" s="7">
        <f>SUM(C5:C18)</f>
        <v>17.5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61</v>
      </c>
      <c r="B24" s="1" t="s">
        <v>26</v>
      </c>
      <c r="C24" s="6">
        <v>0.5</v>
      </c>
    </row>
    <row r="25" spans="1:6" ht="18" customHeight="1" x14ac:dyDescent="0.25">
      <c r="A25" s="1" t="s">
        <v>62</v>
      </c>
      <c r="B25" s="19" t="s">
        <v>52</v>
      </c>
      <c r="C25" s="6">
        <v>1.5</v>
      </c>
    </row>
    <row r="26" spans="1:6" ht="18" customHeight="1" x14ac:dyDescent="0.25">
      <c r="A26" s="1" t="s">
        <v>63</v>
      </c>
      <c r="B26" s="20" t="s">
        <v>52</v>
      </c>
      <c r="C26" s="6">
        <v>3</v>
      </c>
    </row>
    <row r="27" spans="1:6" ht="18" customHeight="1" x14ac:dyDescent="0.25">
      <c r="A27" s="1" t="s">
        <v>64</v>
      </c>
      <c r="B27" s="1" t="s">
        <v>29</v>
      </c>
      <c r="C27" s="6">
        <v>2</v>
      </c>
    </row>
    <row r="28" spans="1:6" ht="18" customHeight="1" x14ac:dyDescent="0.25">
      <c r="A28" s="1" t="s">
        <v>65</v>
      </c>
      <c r="B28" s="1"/>
      <c r="C28" s="6">
        <v>1</v>
      </c>
    </row>
    <row r="29" spans="1:6" ht="18" customHeight="1" x14ac:dyDescent="0.25">
      <c r="A29" s="1" t="s">
        <v>66</v>
      </c>
      <c r="B29" s="1"/>
      <c r="C29" s="6">
        <v>0.5</v>
      </c>
    </row>
    <row r="30" spans="1:6" ht="18" customHeight="1" x14ac:dyDescent="0.25">
      <c r="A30" s="1" t="s">
        <v>63</v>
      </c>
      <c r="B30" s="1"/>
      <c r="C30" s="6">
        <v>3</v>
      </c>
    </row>
    <row r="31" spans="1:6" ht="18" customHeight="1" x14ac:dyDescent="0.25">
      <c r="A31" s="1" t="s">
        <v>67</v>
      </c>
      <c r="B31" s="1" t="s">
        <v>29</v>
      </c>
      <c r="C31" s="6">
        <v>3</v>
      </c>
    </row>
    <row r="32" spans="1:6" ht="18" customHeight="1" x14ac:dyDescent="0.25">
      <c r="A32" s="1" t="s">
        <v>68</v>
      </c>
      <c r="B32" s="1" t="s">
        <v>29</v>
      </c>
      <c r="C32" s="6">
        <v>4</v>
      </c>
    </row>
    <row r="33" spans="1:6" ht="18" customHeight="1" x14ac:dyDescent="0.25">
      <c r="A33" s="1" t="s">
        <v>69</v>
      </c>
      <c r="B33" s="1" t="s">
        <v>29</v>
      </c>
      <c r="C33" s="6">
        <v>4.5</v>
      </c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4</v>
      </c>
      <c r="B38" s="2"/>
      <c r="C38" s="7">
        <f>SUM(C24:C37)</f>
        <v>23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70</v>
      </c>
      <c r="B43" s="1" t="s">
        <v>47</v>
      </c>
      <c r="C43" s="6">
        <v>5</v>
      </c>
    </row>
    <row r="44" spans="1:6" ht="18" customHeight="1" x14ac:dyDescent="0.25">
      <c r="A44" s="1" t="s">
        <v>71</v>
      </c>
      <c r="B44" s="1" t="s">
        <v>52</v>
      </c>
      <c r="C44" s="6">
        <v>1.5</v>
      </c>
    </row>
    <row r="45" spans="1:6" ht="18" customHeight="1" x14ac:dyDescent="0.25">
      <c r="A45" s="1" t="s">
        <v>50</v>
      </c>
      <c r="B45" s="1" t="s">
        <v>26</v>
      </c>
      <c r="C45" s="6">
        <v>0.5</v>
      </c>
    </row>
    <row r="46" spans="1:6" ht="18" customHeight="1" x14ac:dyDescent="0.25">
      <c r="A46" s="1" t="s">
        <v>51</v>
      </c>
      <c r="B46" s="1" t="s">
        <v>52</v>
      </c>
      <c r="C46" s="6">
        <v>3</v>
      </c>
    </row>
    <row r="47" spans="1:6" ht="18" customHeight="1" x14ac:dyDescent="0.25">
      <c r="A47" s="1" t="s">
        <v>72</v>
      </c>
      <c r="B47" s="1" t="s">
        <v>52</v>
      </c>
      <c r="C47" s="6">
        <v>3</v>
      </c>
    </row>
    <row r="48" spans="1:6" ht="18" customHeight="1" x14ac:dyDescent="0.25">
      <c r="A48" s="1" t="s">
        <v>73</v>
      </c>
      <c r="B48" s="1" t="s">
        <v>47</v>
      </c>
      <c r="C48" s="6">
        <v>4.5</v>
      </c>
    </row>
    <row r="49" spans="1:6" ht="18" customHeight="1" x14ac:dyDescent="0.25">
      <c r="A49" s="1" t="s">
        <v>74</v>
      </c>
      <c r="B49" s="1" t="s">
        <v>47</v>
      </c>
      <c r="C49" s="6">
        <v>5</v>
      </c>
    </row>
    <row r="50" spans="1:6" ht="18" customHeight="1" x14ac:dyDescent="0.25">
      <c r="A50" s="1" t="s">
        <v>75</v>
      </c>
      <c r="B50" s="1" t="s">
        <v>47</v>
      </c>
      <c r="C50" s="6">
        <v>2</v>
      </c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4</v>
      </c>
      <c r="B57" s="2"/>
      <c r="C57" s="7">
        <f>SUM(C43:C56)</f>
        <v>24.5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3C2D-92A8-4D19-A2C4-E81AC4B3A70F}">
  <dimension ref="A1:F57"/>
  <sheetViews>
    <sheetView workbookViewId="0">
      <selection activeCell="B51" sqref="B51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76</v>
      </c>
      <c r="B5" s="1"/>
      <c r="C5" s="6">
        <v>1</v>
      </c>
    </row>
    <row r="6" spans="1:6" ht="18" customHeight="1" x14ac:dyDescent="0.25">
      <c r="A6" s="1" t="s">
        <v>77</v>
      </c>
      <c r="B6" s="1"/>
      <c r="C6" s="6">
        <v>4</v>
      </c>
      <c r="F6" s="11" t="s">
        <v>78</v>
      </c>
    </row>
    <row r="7" spans="1:6" ht="18" customHeight="1" x14ac:dyDescent="0.25">
      <c r="A7" s="1" t="s">
        <v>79</v>
      </c>
      <c r="B7" s="1" t="s">
        <v>80</v>
      </c>
      <c r="C7" s="6">
        <v>5</v>
      </c>
    </row>
    <row r="8" spans="1:6" ht="18" customHeight="1" x14ac:dyDescent="0.25">
      <c r="A8" s="1" t="s">
        <v>81</v>
      </c>
      <c r="B8" s="1"/>
      <c r="C8" s="6">
        <v>5</v>
      </c>
      <c r="F8" s="11" t="s">
        <v>82</v>
      </c>
    </row>
    <row r="9" spans="1:6" ht="18" customHeight="1" x14ac:dyDescent="0.25">
      <c r="A9" s="1" t="s">
        <v>83</v>
      </c>
      <c r="B9" s="1"/>
      <c r="C9" s="6">
        <v>6</v>
      </c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84</v>
      </c>
      <c r="B19" s="2"/>
      <c r="C19" s="7">
        <f>SUM(C5:C18)</f>
        <v>21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 t="s">
        <v>85</v>
      </c>
    </row>
    <row r="24" spans="1:6" ht="18" customHeight="1" x14ac:dyDescent="0.25">
      <c r="A24" s="1" t="s">
        <v>76</v>
      </c>
      <c r="B24" s="1" t="s">
        <v>26</v>
      </c>
      <c r="C24" s="6">
        <v>1</v>
      </c>
      <c r="F24" s="11" t="s">
        <v>86</v>
      </c>
    </row>
    <row r="25" spans="1:6" ht="18" customHeight="1" x14ac:dyDescent="0.25">
      <c r="A25" s="1" t="s">
        <v>87</v>
      </c>
      <c r="B25" s="1" t="s">
        <v>88</v>
      </c>
      <c r="C25" s="6">
        <v>2</v>
      </c>
    </row>
    <row r="26" spans="1:6" ht="18" customHeight="1" x14ac:dyDescent="0.25">
      <c r="A26" s="1" t="s">
        <v>89</v>
      </c>
      <c r="B26" s="1" t="s">
        <v>90</v>
      </c>
      <c r="C26" s="6">
        <v>2</v>
      </c>
    </row>
    <row r="27" spans="1:6" ht="18" customHeight="1" x14ac:dyDescent="0.25">
      <c r="A27" s="1" t="s">
        <v>91</v>
      </c>
      <c r="B27" s="1" t="s">
        <v>26</v>
      </c>
      <c r="C27" s="6">
        <v>1</v>
      </c>
    </row>
    <row r="28" spans="1:6" ht="18" customHeight="1" x14ac:dyDescent="0.25">
      <c r="A28" s="1" t="s">
        <v>92</v>
      </c>
      <c r="B28" s="1" t="s">
        <v>26</v>
      </c>
      <c r="C28" s="6">
        <v>1</v>
      </c>
    </row>
    <row r="29" spans="1:6" ht="18" customHeight="1" x14ac:dyDescent="0.25">
      <c r="A29" s="1" t="s">
        <v>93</v>
      </c>
      <c r="B29" s="1"/>
      <c r="C29" s="6">
        <v>5</v>
      </c>
    </row>
    <row r="30" spans="1:6" ht="18" customHeight="1" x14ac:dyDescent="0.25">
      <c r="A30" s="1" t="s">
        <v>94</v>
      </c>
      <c r="B30" s="1"/>
      <c r="C30" s="6">
        <v>3</v>
      </c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5</v>
      </c>
      <c r="B38" s="2"/>
      <c r="C38" s="7">
        <f>SUM(C24:C37)</f>
        <v>15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 t="s">
        <v>95</v>
      </c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21" t="s">
        <v>96</v>
      </c>
    </row>
    <row r="43" spans="1:6" ht="18" customHeight="1" x14ac:dyDescent="0.25">
      <c r="A43" s="1" t="s">
        <v>97</v>
      </c>
      <c r="B43" s="1" t="s">
        <v>26</v>
      </c>
      <c r="C43" s="6">
        <v>2</v>
      </c>
      <c r="F43" s="11" t="s">
        <v>98</v>
      </c>
    </row>
    <row r="44" spans="1:6" ht="18" customHeight="1" x14ac:dyDescent="0.25">
      <c r="A44" s="1" t="s">
        <v>99</v>
      </c>
      <c r="B44" s="1" t="s">
        <v>47</v>
      </c>
      <c r="C44" s="6">
        <v>2</v>
      </c>
    </row>
    <row r="45" spans="1:6" ht="18" customHeight="1" x14ac:dyDescent="0.25">
      <c r="A45" s="1" t="s">
        <v>100</v>
      </c>
      <c r="B45" s="1" t="s">
        <v>26</v>
      </c>
      <c r="C45" s="6">
        <v>1</v>
      </c>
    </row>
    <row r="46" spans="1:6" ht="18" customHeight="1" x14ac:dyDescent="0.25">
      <c r="A46" s="1" t="s">
        <v>101</v>
      </c>
      <c r="B46" s="1" t="s">
        <v>29</v>
      </c>
      <c r="C46" s="6">
        <v>1</v>
      </c>
    </row>
    <row r="47" spans="1:6" ht="18" customHeight="1" x14ac:dyDescent="0.25">
      <c r="A47" s="1" t="s">
        <v>92</v>
      </c>
      <c r="B47" s="1" t="s">
        <v>26</v>
      </c>
      <c r="C47" s="6">
        <v>1</v>
      </c>
    </row>
    <row r="48" spans="1:6" ht="18" customHeight="1" x14ac:dyDescent="0.25">
      <c r="A48" s="1" t="s">
        <v>102</v>
      </c>
      <c r="B48" s="1" t="s">
        <v>103</v>
      </c>
      <c r="C48" s="6">
        <v>3</v>
      </c>
    </row>
    <row r="49" spans="1:6" ht="18" customHeight="1" x14ac:dyDescent="0.25">
      <c r="A49" s="1" t="s">
        <v>104</v>
      </c>
      <c r="B49" s="1" t="s">
        <v>103</v>
      </c>
      <c r="C49" s="6">
        <v>6</v>
      </c>
    </row>
    <row r="50" spans="1:6" ht="18" customHeight="1" x14ac:dyDescent="0.25">
      <c r="A50" s="1" t="s">
        <v>105</v>
      </c>
      <c r="B50" s="1" t="s">
        <v>47</v>
      </c>
      <c r="C50" s="6">
        <v>2</v>
      </c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5</v>
      </c>
      <c r="B57" s="2"/>
      <c r="C57" s="7">
        <f>SUM(C43:C56)</f>
        <v>18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3BF5-A2AC-473F-B20A-788EB939BAF4}">
  <dimension ref="A1:F57"/>
  <sheetViews>
    <sheetView topLeftCell="A15" workbookViewId="0">
      <selection activeCell="F30" sqref="F30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106</v>
      </c>
      <c r="B5" s="1"/>
      <c r="C5" s="6">
        <v>6</v>
      </c>
    </row>
    <row r="6" spans="1:6" ht="18" customHeight="1" x14ac:dyDescent="0.25">
      <c r="A6" s="1" t="s">
        <v>107</v>
      </c>
      <c r="B6" s="1"/>
      <c r="C6" s="6">
        <v>2</v>
      </c>
    </row>
    <row r="7" spans="1:6" ht="18" customHeight="1" x14ac:dyDescent="0.25">
      <c r="A7" s="1" t="s">
        <v>108</v>
      </c>
      <c r="B7" s="1"/>
      <c r="C7" s="6">
        <v>1.5</v>
      </c>
    </row>
    <row r="8" spans="1:6" ht="18" customHeight="1" x14ac:dyDescent="0.25">
      <c r="A8" s="1" t="s">
        <v>109</v>
      </c>
      <c r="B8" s="1"/>
      <c r="C8" s="6">
        <v>5.5</v>
      </c>
    </row>
    <row r="9" spans="1:6" ht="18" customHeight="1" x14ac:dyDescent="0.25">
      <c r="A9" s="1" t="s">
        <v>110</v>
      </c>
      <c r="B9" s="1"/>
      <c r="C9" s="6">
        <v>3</v>
      </c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111</v>
      </c>
      <c r="B19" s="2"/>
      <c r="C19" s="7">
        <f>SUM(C5:C18)</f>
        <v>18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112</v>
      </c>
      <c r="B24" s="1"/>
      <c r="C24" s="6">
        <v>2</v>
      </c>
    </row>
    <row r="25" spans="1:6" ht="18" customHeight="1" x14ac:dyDescent="0.25">
      <c r="A25" s="1" t="s">
        <v>113</v>
      </c>
      <c r="B25" s="1"/>
      <c r="C25" s="6">
        <v>6.5</v>
      </c>
    </row>
    <row r="26" spans="1:6" ht="18" customHeight="1" x14ac:dyDescent="0.25">
      <c r="A26" s="1" t="s">
        <v>114</v>
      </c>
      <c r="B26" s="1"/>
      <c r="C26" s="6">
        <v>5</v>
      </c>
    </row>
    <row r="27" spans="1:6" ht="18" customHeight="1" x14ac:dyDescent="0.25">
      <c r="A27" s="1" t="s">
        <v>115</v>
      </c>
      <c r="B27" s="1"/>
      <c r="C27" s="6">
        <v>2</v>
      </c>
    </row>
    <row r="28" spans="1:6" ht="18" customHeight="1" x14ac:dyDescent="0.25">
      <c r="A28" s="1"/>
      <c r="B28" s="1"/>
      <c r="C28" s="6"/>
    </row>
    <row r="29" spans="1:6" ht="18" customHeight="1" x14ac:dyDescent="0.25">
      <c r="A29" s="1"/>
      <c r="B29" s="1"/>
      <c r="C29" s="6"/>
    </row>
    <row r="30" spans="1:6" ht="18" customHeight="1" x14ac:dyDescent="0.25">
      <c r="A30" s="1"/>
      <c r="B30" s="1"/>
      <c r="C30" s="6"/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6</v>
      </c>
      <c r="B38" s="2"/>
      <c r="C38" s="7">
        <f>SUM(C24:C37)</f>
        <v>15.5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 t="s">
        <v>116</v>
      </c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 t="s">
        <v>117</v>
      </c>
    </row>
    <row r="43" spans="1:6" ht="18" customHeight="1" x14ac:dyDescent="0.25">
      <c r="A43" s="1" t="s">
        <v>118</v>
      </c>
      <c r="B43" s="1" t="s">
        <v>119</v>
      </c>
      <c r="C43" s="6">
        <v>1.5</v>
      </c>
      <c r="F43" s="22" t="s">
        <v>120</v>
      </c>
    </row>
    <row r="44" spans="1:6" ht="18" customHeight="1" x14ac:dyDescent="0.25">
      <c r="A44" s="1" t="s">
        <v>112</v>
      </c>
      <c r="B44" s="1" t="s">
        <v>26</v>
      </c>
      <c r="C44" s="6">
        <v>2</v>
      </c>
    </row>
    <row r="45" spans="1:6" ht="18" customHeight="1" x14ac:dyDescent="0.25">
      <c r="A45" s="1" t="s">
        <v>121</v>
      </c>
      <c r="B45" s="1" t="s">
        <v>119</v>
      </c>
      <c r="C45" s="6">
        <v>4.5</v>
      </c>
    </row>
    <row r="46" spans="1:6" ht="18" customHeight="1" x14ac:dyDescent="0.25">
      <c r="A46" s="1" t="s">
        <v>122</v>
      </c>
      <c r="B46" s="1" t="s">
        <v>119</v>
      </c>
      <c r="C46" s="6">
        <v>3</v>
      </c>
      <c r="F46" s="23"/>
    </row>
    <row r="47" spans="1:6" ht="18" customHeight="1" x14ac:dyDescent="0.25">
      <c r="A47" s="1" t="s">
        <v>123</v>
      </c>
      <c r="B47" s="1" t="s">
        <v>119</v>
      </c>
      <c r="C47" s="6">
        <v>3</v>
      </c>
    </row>
    <row r="48" spans="1:6" ht="18" customHeight="1" x14ac:dyDescent="0.25">
      <c r="A48" s="1" t="s">
        <v>124</v>
      </c>
      <c r="B48" s="1" t="s">
        <v>119</v>
      </c>
      <c r="C48" s="6">
        <v>4</v>
      </c>
    </row>
    <row r="49" spans="1:6" ht="18" customHeight="1" x14ac:dyDescent="0.25">
      <c r="A49" s="1"/>
      <c r="B49" s="1"/>
      <c r="C49" s="6"/>
    </row>
    <row r="50" spans="1:6" ht="18" customHeight="1" x14ac:dyDescent="0.25">
      <c r="A50" s="1"/>
      <c r="B50" s="1"/>
      <c r="C50" s="6"/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6</v>
      </c>
      <c r="B57" s="2"/>
      <c r="C57" s="7">
        <f>SUM(C43:C56)</f>
        <v>18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4305-3711-40CD-8A6F-C9B1933D506C}">
  <dimension ref="A1:F57"/>
  <sheetViews>
    <sheetView topLeftCell="A45" workbookViewId="0">
      <selection activeCell="A52" sqref="A52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125</v>
      </c>
      <c r="B5" s="1"/>
      <c r="C5" s="6">
        <v>0.5</v>
      </c>
    </row>
    <row r="6" spans="1:6" ht="18" customHeight="1" x14ac:dyDescent="0.25">
      <c r="A6" s="1" t="s">
        <v>126</v>
      </c>
      <c r="B6" s="1"/>
      <c r="C6" s="6">
        <v>5</v>
      </c>
    </row>
    <row r="7" spans="1:6" ht="18" customHeight="1" x14ac:dyDescent="0.25">
      <c r="A7" s="1" t="s">
        <v>127</v>
      </c>
      <c r="B7" s="1"/>
      <c r="C7" s="6">
        <v>1</v>
      </c>
    </row>
    <row r="8" spans="1:6" ht="18" customHeight="1" x14ac:dyDescent="0.25">
      <c r="A8" s="1" t="s">
        <v>128</v>
      </c>
      <c r="B8" s="1"/>
      <c r="C8" s="6">
        <v>1</v>
      </c>
    </row>
    <row r="9" spans="1:6" ht="18" customHeight="1" x14ac:dyDescent="0.25">
      <c r="A9" s="1" t="s">
        <v>129</v>
      </c>
      <c r="B9" s="1"/>
      <c r="C9" s="6">
        <v>4</v>
      </c>
    </row>
    <row r="10" spans="1:6" ht="18" customHeight="1" x14ac:dyDescent="0.25">
      <c r="A10" s="1" t="s">
        <v>130</v>
      </c>
      <c r="B10" s="1"/>
      <c r="C10" s="6">
        <v>5.5</v>
      </c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131</v>
      </c>
      <c r="B19" s="2"/>
      <c r="C19" s="7">
        <f>SUM(C5:C18)</f>
        <v>17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132</v>
      </c>
      <c r="B24" s="1" t="s">
        <v>26</v>
      </c>
      <c r="C24" s="6">
        <v>1</v>
      </c>
    </row>
    <row r="25" spans="1:6" ht="18" customHeight="1" x14ac:dyDescent="0.25">
      <c r="A25" s="1" t="s">
        <v>133</v>
      </c>
      <c r="B25" s="1" t="s">
        <v>134</v>
      </c>
      <c r="C25" s="6">
        <v>2</v>
      </c>
    </row>
    <row r="26" spans="1:6" ht="18" customHeight="1" x14ac:dyDescent="0.25">
      <c r="A26" s="1" t="s">
        <v>135</v>
      </c>
      <c r="B26" s="1" t="s">
        <v>26</v>
      </c>
      <c r="C26" s="6">
        <v>2</v>
      </c>
    </row>
    <row r="27" spans="1:6" ht="18" customHeight="1" x14ac:dyDescent="0.25">
      <c r="A27" s="1" t="s">
        <v>136</v>
      </c>
      <c r="B27" s="1" t="s">
        <v>137</v>
      </c>
      <c r="C27" s="6">
        <v>3</v>
      </c>
    </row>
    <row r="28" spans="1:6" ht="18" customHeight="1" x14ac:dyDescent="0.25">
      <c r="A28" s="1" t="s">
        <v>138</v>
      </c>
      <c r="B28" s="1" t="s">
        <v>139</v>
      </c>
      <c r="C28" s="6">
        <v>3</v>
      </c>
    </row>
    <row r="29" spans="1:6" ht="18" customHeight="1" x14ac:dyDescent="0.25">
      <c r="A29" s="1" t="s">
        <v>140</v>
      </c>
      <c r="B29" s="1" t="s">
        <v>141</v>
      </c>
      <c r="C29" s="6">
        <v>8</v>
      </c>
    </row>
    <row r="30" spans="1:6" ht="18" customHeight="1" x14ac:dyDescent="0.25">
      <c r="A30" s="1"/>
      <c r="B30" s="1"/>
      <c r="C30" s="6"/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7</v>
      </c>
      <c r="B38" s="2"/>
      <c r="C38" s="7">
        <f>SUM(C24:C37)</f>
        <v>19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142</v>
      </c>
      <c r="B43" s="1" t="s">
        <v>143</v>
      </c>
      <c r="C43" s="6">
        <v>4</v>
      </c>
    </row>
    <row r="44" spans="1:6" ht="18" customHeight="1" x14ac:dyDescent="0.25">
      <c r="A44" s="1" t="s">
        <v>144</v>
      </c>
      <c r="B44" s="1" t="s">
        <v>143</v>
      </c>
      <c r="C44" s="6">
        <v>2</v>
      </c>
    </row>
    <row r="45" spans="1:6" ht="18" customHeight="1" x14ac:dyDescent="0.25">
      <c r="A45" s="1" t="s">
        <v>145</v>
      </c>
      <c r="B45" s="1" t="s">
        <v>26</v>
      </c>
      <c r="C45" s="6">
        <v>0.5</v>
      </c>
    </row>
    <row r="46" spans="1:6" ht="18" customHeight="1" x14ac:dyDescent="0.25">
      <c r="A46" s="1" t="s">
        <v>146</v>
      </c>
      <c r="B46" s="1" t="s">
        <v>143</v>
      </c>
      <c r="C46" s="6">
        <v>4</v>
      </c>
    </row>
    <row r="47" spans="1:6" ht="18" customHeight="1" x14ac:dyDescent="0.25">
      <c r="A47" s="1" t="s">
        <v>147</v>
      </c>
      <c r="B47" s="1" t="s">
        <v>148</v>
      </c>
      <c r="C47" s="6">
        <v>2</v>
      </c>
    </row>
    <row r="48" spans="1:6" ht="18" customHeight="1" x14ac:dyDescent="0.25">
      <c r="A48" s="1" t="s">
        <v>149</v>
      </c>
      <c r="B48" s="1" t="s">
        <v>26</v>
      </c>
      <c r="C48" s="6">
        <v>3</v>
      </c>
    </row>
    <row r="49" spans="1:6" ht="18" customHeight="1" x14ac:dyDescent="0.25">
      <c r="A49" s="1" t="s">
        <v>150</v>
      </c>
      <c r="B49" s="1" t="s">
        <v>143</v>
      </c>
      <c r="C49" s="6">
        <v>4</v>
      </c>
    </row>
    <row r="50" spans="1:6" ht="18" customHeight="1" x14ac:dyDescent="0.25">
      <c r="A50" s="1" t="s">
        <v>151</v>
      </c>
      <c r="B50" s="1" t="s">
        <v>152</v>
      </c>
      <c r="C50" s="6">
        <v>1</v>
      </c>
    </row>
    <row r="51" spans="1:6" ht="18" customHeight="1" x14ac:dyDescent="0.25">
      <c r="A51" s="1" t="s">
        <v>153</v>
      </c>
      <c r="B51" s="1" t="s">
        <v>154</v>
      </c>
      <c r="C51" s="6">
        <v>1.5</v>
      </c>
    </row>
    <row r="52" spans="1:6" ht="18" customHeight="1" x14ac:dyDescent="0.25">
      <c r="A52" s="1" t="s">
        <v>155</v>
      </c>
      <c r="B52" s="1" t="s">
        <v>152</v>
      </c>
      <c r="C52" s="6">
        <v>4</v>
      </c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7</v>
      </c>
      <c r="B57" s="2"/>
      <c r="C57" s="7">
        <f>SUM(C43:C56)</f>
        <v>26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5B51-27EB-4F35-A123-55CF1BAB1B7D}">
  <dimension ref="A1:F57"/>
  <sheetViews>
    <sheetView topLeftCell="A37" workbookViewId="0">
      <selection activeCell="A51" sqref="A51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156</v>
      </c>
      <c r="B5" s="1"/>
      <c r="C5" s="6">
        <v>6</v>
      </c>
    </row>
    <row r="6" spans="1:6" ht="18" customHeight="1" x14ac:dyDescent="0.25">
      <c r="A6" s="1" t="s">
        <v>157</v>
      </c>
      <c r="B6" s="1"/>
      <c r="C6" s="6">
        <v>5</v>
      </c>
    </row>
    <row r="7" spans="1:6" ht="18" customHeight="1" x14ac:dyDescent="0.25">
      <c r="A7" s="1" t="s">
        <v>158</v>
      </c>
      <c r="B7" s="1"/>
      <c r="C7" s="6">
        <v>5</v>
      </c>
    </row>
    <row r="8" spans="1:6" ht="18" customHeight="1" x14ac:dyDescent="0.25">
      <c r="A8" s="1" t="s">
        <v>159</v>
      </c>
      <c r="B8" s="1"/>
      <c r="C8" s="6">
        <v>1</v>
      </c>
    </row>
    <row r="9" spans="1:6" ht="18" customHeight="1" x14ac:dyDescent="0.25">
      <c r="A9" s="1" t="s">
        <v>160</v>
      </c>
      <c r="B9" s="1"/>
      <c r="C9" s="6">
        <v>4</v>
      </c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161</v>
      </c>
      <c r="B19" s="2"/>
      <c r="C19" s="7">
        <f>SUM(C5:C18)</f>
        <v>21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/>
      <c r="B24" s="1"/>
      <c r="C24" s="6"/>
    </row>
    <row r="25" spans="1:6" ht="18" customHeight="1" x14ac:dyDescent="0.25">
      <c r="A25" s="1" t="s">
        <v>162</v>
      </c>
      <c r="B25" s="1" t="s">
        <v>163</v>
      </c>
      <c r="C25" s="6">
        <v>2</v>
      </c>
    </row>
    <row r="26" spans="1:6" ht="18" customHeight="1" x14ac:dyDescent="0.25">
      <c r="A26" s="1" t="s">
        <v>164</v>
      </c>
      <c r="B26" s="1" t="s">
        <v>165</v>
      </c>
      <c r="C26" s="6">
        <v>3</v>
      </c>
    </row>
    <row r="27" spans="1:6" ht="18" customHeight="1" x14ac:dyDescent="0.25">
      <c r="A27" s="1" t="s">
        <v>166</v>
      </c>
      <c r="B27" s="1" t="s">
        <v>34</v>
      </c>
      <c r="C27" s="6">
        <v>1</v>
      </c>
    </row>
    <row r="28" spans="1:6" ht="18" customHeight="1" x14ac:dyDescent="0.25">
      <c r="A28" s="1" t="s">
        <v>167</v>
      </c>
      <c r="B28" s="1" t="s">
        <v>47</v>
      </c>
      <c r="C28" s="6">
        <v>6</v>
      </c>
    </row>
    <row r="29" spans="1:6" ht="18" customHeight="1" x14ac:dyDescent="0.25">
      <c r="A29" s="1" t="s">
        <v>168</v>
      </c>
      <c r="B29" s="1" t="s">
        <v>163</v>
      </c>
      <c r="C29" s="6">
        <v>1</v>
      </c>
    </row>
    <row r="30" spans="1:6" ht="18" customHeight="1" x14ac:dyDescent="0.25">
      <c r="A30" s="1" t="s">
        <v>169</v>
      </c>
      <c r="B30" s="1" t="s">
        <v>165</v>
      </c>
      <c r="C30" s="6">
        <v>2</v>
      </c>
    </row>
    <row r="31" spans="1:6" ht="18" customHeight="1" x14ac:dyDescent="0.25">
      <c r="A31" s="1" t="s">
        <v>170</v>
      </c>
      <c r="B31" s="1"/>
      <c r="C31" s="6">
        <v>5</v>
      </c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8</v>
      </c>
      <c r="B38" s="2"/>
      <c r="C38" s="7">
        <f>SUM(C24:C37)</f>
        <v>20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171</v>
      </c>
      <c r="B43" s="1" t="s">
        <v>172</v>
      </c>
      <c r="C43" s="6">
        <v>3</v>
      </c>
    </row>
    <row r="44" spans="1:6" ht="18" customHeight="1" x14ac:dyDescent="0.25">
      <c r="A44" s="1" t="s">
        <v>173</v>
      </c>
      <c r="B44" s="1" t="s">
        <v>165</v>
      </c>
      <c r="C44" s="6">
        <v>1</v>
      </c>
    </row>
    <row r="45" spans="1:6" ht="18" customHeight="1" x14ac:dyDescent="0.25">
      <c r="A45" s="1" t="s">
        <v>174</v>
      </c>
      <c r="B45" s="1" t="s">
        <v>26</v>
      </c>
      <c r="C45" s="6">
        <v>1</v>
      </c>
    </row>
    <row r="46" spans="1:6" ht="18" customHeight="1" x14ac:dyDescent="0.25">
      <c r="A46" s="1" t="s">
        <v>175</v>
      </c>
      <c r="B46" s="1" t="s">
        <v>172</v>
      </c>
      <c r="C46" s="6">
        <v>3</v>
      </c>
    </row>
    <row r="47" spans="1:6" ht="18" customHeight="1" x14ac:dyDescent="0.25">
      <c r="A47" s="1" t="s">
        <v>176</v>
      </c>
      <c r="B47" s="1" t="s">
        <v>47</v>
      </c>
      <c r="C47" s="6">
        <v>4.5</v>
      </c>
    </row>
    <row r="48" spans="1:6" ht="18" customHeight="1" x14ac:dyDescent="0.25">
      <c r="A48" s="1" t="s">
        <v>177</v>
      </c>
      <c r="B48" s="1" t="s">
        <v>178</v>
      </c>
      <c r="C48" s="6">
        <v>2</v>
      </c>
    </row>
    <row r="49" spans="1:6" ht="18" customHeight="1" x14ac:dyDescent="0.25">
      <c r="A49" s="1" t="s">
        <v>179</v>
      </c>
      <c r="B49" s="1" t="s">
        <v>165</v>
      </c>
      <c r="C49" s="6">
        <v>2.5</v>
      </c>
    </row>
    <row r="50" spans="1:6" ht="18" customHeight="1" x14ac:dyDescent="0.25">
      <c r="A50" s="1" t="s">
        <v>180</v>
      </c>
      <c r="B50" s="1" t="s">
        <v>165</v>
      </c>
      <c r="C50" s="6">
        <v>11</v>
      </c>
    </row>
    <row r="51" spans="1:6" ht="18" customHeight="1" x14ac:dyDescent="0.25">
      <c r="A51" s="1" t="s">
        <v>181</v>
      </c>
      <c r="B51" s="1" t="s">
        <v>165</v>
      </c>
      <c r="C51" s="6">
        <v>8</v>
      </c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8</v>
      </c>
      <c r="B57" s="2"/>
      <c r="C57" s="7">
        <f>SUM(C43:C56)</f>
        <v>36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F3C8-CFD8-4798-BDA9-1E0B398D0708}">
  <dimension ref="A1:F57"/>
  <sheetViews>
    <sheetView workbookViewId="0">
      <selection activeCell="E12" sqref="E12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182</v>
      </c>
      <c r="B5" s="1"/>
      <c r="C5" s="6">
        <v>5</v>
      </c>
    </row>
    <row r="6" spans="1:6" ht="18" customHeight="1" x14ac:dyDescent="0.25">
      <c r="A6" s="1" t="s">
        <v>183</v>
      </c>
      <c r="B6" s="1"/>
      <c r="C6" s="6">
        <v>5</v>
      </c>
    </row>
    <row r="7" spans="1:6" ht="18" customHeight="1" x14ac:dyDescent="0.25">
      <c r="A7" s="1" t="s">
        <v>184</v>
      </c>
      <c r="B7" s="1"/>
      <c r="C7" s="6">
        <v>5</v>
      </c>
    </row>
    <row r="8" spans="1:6" ht="18" customHeight="1" x14ac:dyDescent="0.25">
      <c r="A8" s="1" t="s">
        <v>185</v>
      </c>
      <c r="B8" s="1"/>
      <c r="C8" s="6">
        <v>5</v>
      </c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186</v>
      </c>
      <c r="B19" s="2"/>
      <c r="C19" s="7">
        <f>SUM(C5:C18)</f>
        <v>20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187</v>
      </c>
      <c r="B24" s="1" t="s">
        <v>26</v>
      </c>
      <c r="C24" s="6">
        <v>1</v>
      </c>
    </row>
    <row r="25" spans="1:6" ht="18" customHeight="1" x14ac:dyDescent="0.25">
      <c r="A25" s="1" t="s">
        <v>188</v>
      </c>
      <c r="B25" s="1"/>
      <c r="C25" s="6">
        <v>2</v>
      </c>
    </row>
    <row r="26" spans="1:6" ht="18" customHeight="1" x14ac:dyDescent="0.25">
      <c r="A26" s="1" t="s">
        <v>189</v>
      </c>
      <c r="B26" s="1" t="s">
        <v>190</v>
      </c>
      <c r="C26" s="6">
        <v>1</v>
      </c>
    </row>
    <row r="27" spans="1:6" ht="18" customHeight="1" x14ac:dyDescent="0.25">
      <c r="A27" s="1" t="s">
        <v>191</v>
      </c>
      <c r="B27" s="1" t="s">
        <v>26</v>
      </c>
      <c r="C27" s="6">
        <v>0.5</v>
      </c>
    </row>
    <row r="28" spans="1:6" ht="18" customHeight="1" x14ac:dyDescent="0.25">
      <c r="A28" s="1" t="s">
        <v>192</v>
      </c>
      <c r="B28" s="1"/>
      <c r="C28" s="6">
        <v>3</v>
      </c>
    </row>
    <row r="29" spans="1:6" ht="18" customHeight="1" x14ac:dyDescent="0.25">
      <c r="A29" s="1" t="s">
        <v>193</v>
      </c>
      <c r="B29" s="1" t="s">
        <v>194</v>
      </c>
      <c r="C29" s="6">
        <v>6</v>
      </c>
    </row>
    <row r="30" spans="1:6" ht="18" customHeight="1" x14ac:dyDescent="0.25">
      <c r="A30" s="1" t="s">
        <v>195</v>
      </c>
      <c r="B30" s="1"/>
      <c r="C30" s="6">
        <v>4</v>
      </c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9</v>
      </c>
      <c r="B38" s="2"/>
      <c r="C38" s="7">
        <f>SUM(C24:C37)</f>
        <v>17.5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187</v>
      </c>
      <c r="B43" s="1" t="s">
        <v>26</v>
      </c>
      <c r="C43" s="6">
        <v>1</v>
      </c>
    </row>
    <row r="44" spans="1:6" ht="18" customHeight="1" x14ac:dyDescent="0.25">
      <c r="A44" s="1" t="s">
        <v>196</v>
      </c>
      <c r="B44" s="1" t="s">
        <v>197</v>
      </c>
      <c r="C44" s="6">
        <v>1</v>
      </c>
    </row>
    <row r="45" spans="1:6" ht="18" customHeight="1" x14ac:dyDescent="0.25">
      <c r="A45" s="1" t="s">
        <v>198</v>
      </c>
      <c r="B45" s="1" t="s">
        <v>47</v>
      </c>
      <c r="C45" s="6">
        <v>2</v>
      </c>
    </row>
    <row r="46" spans="1:6" ht="18" customHeight="1" x14ac:dyDescent="0.25">
      <c r="A46" s="1" t="s">
        <v>199</v>
      </c>
      <c r="B46" s="1" t="s">
        <v>26</v>
      </c>
      <c r="C46" s="6">
        <v>0.5</v>
      </c>
    </row>
    <row r="47" spans="1:6" ht="18" customHeight="1" x14ac:dyDescent="0.25">
      <c r="A47" s="1" t="s">
        <v>200</v>
      </c>
      <c r="B47" s="1" t="s">
        <v>47</v>
      </c>
      <c r="C47" s="6">
        <v>2</v>
      </c>
    </row>
    <row r="48" spans="1:6" ht="18" customHeight="1" x14ac:dyDescent="0.25">
      <c r="A48" s="1" t="s">
        <v>201</v>
      </c>
      <c r="B48" s="1" t="s">
        <v>178</v>
      </c>
      <c r="C48" s="6">
        <v>2</v>
      </c>
    </row>
    <row r="49" spans="1:6" ht="18" customHeight="1" x14ac:dyDescent="0.25">
      <c r="A49" s="1" t="s">
        <v>202</v>
      </c>
      <c r="B49" s="1"/>
      <c r="C49" s="6"/>
    </row>
    <row r="50" spans="1:6" ht="18" customHeight="1" x14ac:dyDescent="0.25">
      <c r="A50" s="1"/>
      <c r="B50" s="1"/>
      <c r="C50" s="6"/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9</v>
      </c>
      <c r="B57" s="2"/>
      <c r="C57" s="7">
        <f>SUM(C43:C56)</f>
        <v>8.5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309F-C912-42DF-B17D-A8828FE144B8}">
  <dimension ref="A1:F57"/>
  <sheetViews>
    <sheetView workbookViewId="0">
      <selection activeCell="E23" sqref="E23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203</v>
      </c>
      <c r="B5" s="1" t="s">
        <v>204</v>
      </c>
      <c r="C5" s="6">
        <v>6</v>
      </c>
    </row>
    <row r="6" spans="1:6" ht="18" customHeight="1" x14ac:dyDescent="0.25">
      <c r="A6" s="1" t="s">
        <v>205</v>
      </c>
      <c r="B6" s="1" t="s">
        <v>206</v>
      </c>
      <c r="C6" s="6">
        <v>1</v>
      </c>
    </row>
    <row r="7" spans="1:6" ht="18" customHeight="1" x14ac:dyDescent="0.25">
      <c r="A7" s="1" t="s">
        <v>207</v>
      </c>
      <c r="B7" s="1" t="s">
        <v>204</v>
      </c>
      <c r="C7" s="6">
        <v>6</v>
      </c>
    </row>
    <row r="8" spans="1:6" ht="18" customHeight="1" x14ac:dyDescent="0.25">
      <c r="A8" s="1" t="s">
        <v>208</v>
      </c>
      <c r="B8" s="1" t="s">
        <v>209</v>
      </c>
      <c r="C8" s="6">
        <v>5</v>
      </c>
    </row>
    <row r="9" spans="1:6" ht="18" customHeight="1" x14ac:dyDescent="0.25">
      <c r="A9" s="1" t="s">
        <v>210</v>
      </c>
      <c r="B9" s="1" t="s">
        <v>26</v>
      </c>
      <c r="C9" s="6">
        <v>4</v>
      </c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211</v>
      </c>
      <c r="B19" s="2"/>
      <c r="C19" s="7">
        <f>SUM(C5:C18)</f>
        <v>22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212</v>
      </c>
      <c r="B24" s="1" t="s">
        <v>213</v>
      </c>
      <c r="C24" s="6">
        <v>3</v>
      </c>
    </row>
    <row r="25" spans="1:6" ht="18" customHeight="1" x14ac:dyDescent="0.25">
      <c r="A25" s="1" t="s">
        <v>214</v>
      </c>
      <c r="B25" s="1" t="s">
        <v>34</v>
      </c>
      <c r="C25" s="6">
        <v>1</v>
      </c>
    </row>
    <row r="26" spans="1:6" ht="18" customHeight="1" x14ac:dyDescent="0.25">
      <c r="A26" s="1" t="s">
        <v>215</v>
      </c>
      <c r="B26" s="1" t="s">
        <v>213</v>
      </c>
      <c r="C26" s="6">
        <v>8</v>
      </c>
    </row>
    <row r="27" spans="1:6" ht="18" customHeight="1" x14ac:dyDescent="0.25">
      <c r="A27" s="1" t="s">
        <v>216</v>
      </c>
      <c r="B27" s="1" t="s">
        <v>213</v>
      </c>
      <c r="C27" s="6">
        <v>3</v>
      </c>
    </row>
    <row r="28" spans="1:6" ht="18" customHeight="1" x14ac:dyDescent="0.25">
      <c r="A28" s="1" t="s">
        <v>217</v>
      </c>
      <c r="B28" s="1" t="s">
        <v>218</v>
      </c>
      <c r="C28" s="6">
        <v>3.5</v>
      </c>
    </row>
    <row r="29" spans="1:6" ht="18" customHeight="1" x14ac:dyDescent="0.25">
      <c r="A29" s="1" t="s">
        <v>219</v>
      </c>
      <c r="B29" s="1" t="s">
        <v>213</v>
      </c>
      <c r="C29" s="6">
        <v>4</v>
      </c>
    </row>
    <row r="30" spans="1:6" ht="18" customHeight="1" x14ac:dyDescent="0.25">
      <c r="A30" s="1"/>
      <c r="B30" s="1"/>
      <c r="C30" s="6"/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10</v>
      </c>
      <c r="B38" s="2"/>
      <c r="C38" s="7">
        <f>SUM(C24:C37)</f>
        <v>22.5</v>
      </c>
      <c r="F38" s="5"/>
    </row>
    <row r="41" spans="1:6" s="4" customFormat="1" ht="18" customHeight="1" x14ac:dyDescent="0.25">
      <c r="A41" s="27" t="s">
        <v>18</v>
      </c>
      <c r="B41" s="28"/>
      <c r="C41" s="8" t="s">
        <v>116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220</v>
      </c>
      <c r="B43" s="1" t="s">
        <v>221</v>
      </c>
      <c r="C43" s="6">
        <v>1</v>
      </c>
    </row>
    <row r="44" spans="1:6" ht="18" customHeight="1" x14ac:dyDescent="0.25">
      <c r="A44" s="1"/>
      <c r="B44" s="1"/>
      <c r="C44" s="6"/>
    </row>
    <row r="45" spans="1:6" ht="18" customHeight="1" x14ac:dyDescent="0.25">
      <c r="A45" s="1" t="s">
        <v>214</v>
      </c>
      <c r="B45" s="1" t="s">
        <v>26</v>
      </c>
      <c r="C45" s="6">
        <v>1</v>
      </c>
    </row>
    <row r="46" spans="1:6" ht="18" customHeight="1" x14ac:dyDescent="0.25">
      <c r="A46" s="1" t="s">
        <v>222</v>
      </c>
      <c r="B46" s="1" t="s">
        <v>204</v>
      </c>
      <c r="C46" s="6">
        <v>6</v>
      </c>
    </row>
    <row r="47" spans="1:6" ht="18" customHeight="1" x14ac:dyDescent="0.25">
      <c r="A47" s="1" t="s">
        <v>223</v>
      </c>
      <c r="B47" s="1" t="s">
        <v>204</v>
      </c>
      <c r="C47" s="6">
        <v>3</v>
      </c>
    </row>
    <row r="48" spans="1:6" ht="18" customHeight="1" x14ac:dyDescent="0.25">
      <c r="A48" s="1" t="s">
        <v>224</v>
      </c>
      <c r="B48" s="1" t="s">
        <v>204</v>
      </c>
      <c r="C48" s="6">
        <v>2</v>
      </c>
    </row>
    <row r="49" spans="1:6" ht="18" customHeight="1" x14ac:dyDescent="0.25">
      <c r="A49" s="1" t="s">
        <v>225</v>
      </c>
      <c r="B49" s="1" t="s">
        <v>26</v>
      </c>
      <c r="C49" s="6">
        <v>1</v>
      </c>
    </row>
    <row r="50" spans="1:6" ht="18" customHeight="1" x14ac:dyDescent="0.25">
      <c r="A50" s="1" t="s">
        <v>226</v>
      </c>
      <c r="B50" s="1" t="s">
        <v>204</v>
      </c>
      <c r="C50" s="6">
        <v>4.5</v>
      </c>
    </row>
    <row r="51" spans="1:6" ht="18" customHeight="1" x14ac:dyDescent="0.25">
      <c r="A51" s="1" t="s">
        <v>227</v>
      </c>
      <c r="B51" s="1" t="s">
        <v>204</v>
      </c>
      <c r="C51" s="6">
        <v>7.5</v>
      </c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10</v>
      </c>
      <c r="B57" s="2"/>
      <c r="C57" s="7">
        <f>SUM(C43:C56)</f>
        <v>26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A94D-619C-42B5-8422-4ABAE2E3B3AA}">
  <dimension ref="A1:F57"/>
  <sheetViews>
    <sheetView workbookViewId="0">
      <selection activeCell="F13" sqref="F13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228</v>
      </c>
      <c r="B5" s="1"/>
      <c r="C5" s="6">
        <v>1</v>
      </c>
    </row>
    <row r="6" spans="1:6" ht="18" customHeight="1" x14ac:dyDescent="0.25">
      <c r="A6" s="1" t="s">
        <v>229</v>
      </c>
      <c r="B6" s="1"/>
      <c r="C6" s="6">
        <v>3</v>
      </c>
    </row>
    <row r="7" spans="1:6" ht="18" customHeight="1" x14ac:dyDescent="0.25">
      <c r="A7" s="1" t="s">
        <v>230</v>
      </c>
      <c r="B7" s="1"/>
      <c r="C7" s="6">
        <v>1.5</v>
      </c>
    </row>
    <row r="8" spans="1:6" ht="18" customHeight="1" x14ac:dyDescent="0.25">
      <c r="A8" s="1" t="s">
        <v>231</v>
      </c>
      <c r="B8" s="1"/>
      <c r="C8" s="6">
        <v>1</v>
      </c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232</v>
      </c>
      <c r="B19" s="2"/>
      <c r="C19" s="7">
        <f>SUM(C5:C18)</f>
        <v>6.5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233</v>
      </c>
      <c r="B24" s="1" t="s">
        <v>234</v>
      </c>
      <c r="C24" s="6">
        <v>1.5</v>
      </c>
    </row>
    <row r="25" spans="1:6" ht="18" customHeight="1" x14ac:dyDescent="0.25">
      <c r="A25" s="1" t="s">
        <v>235</v>
      </c>
      <c r="B25" s="1" t="s">
        <v>236</v>
      </c>
      <c r="C25" s="6">
        <v>4</v>
      </c>
    </row>
    <row r="26" spans="1:6" ht="18" customHeight="1" x14ac:dyDescent="0.25">
      <c r="A26" s="1" t="s">
        <v>237</v>
      </c>
      <c r="B26" s="1" t="s">
        <v>236</v>
      </c>
      <c r="C26" s="6">
        <v>6</v>
      </c>
    </row>
    <row r="27" spans="1:6" ht="18" customHeight="1" x14ac:dyDescent="0.25">
      <c r="A27" s="1" t="s">
        <v>238</v>
      </c>
      <c r="B27" s="1" t="s">
        <v>234</v>
      </c>
      <c r="C27" s="6">
        <v>2</v>
      </c>
    </row>
    <row r="28" spans="1:6" ht="18" customHeight="1" x14ac:dyDescent="0.25">
      <c r="A28" s="1" t="s">
        <v>239</v>
      </c>
      <c r="B28" s="1" t="s">
        <v>197</v>
      </c>
      <c r="C28" s="6">
        <v>1</v>
      </c>
    </row>
    <row r="29" spans="1:6" ht="18" customHeight="1" x14ac:dyDescent="0.25">
      <c r="A29" t="s">
        <v>240</v>
      </c>
      <c r="B29" s="25" t="s">
        <v>236</v>
      </c>
      <c r="C29" s="26">
        <v>4</v>
      </c>
    </row>
    <row r="30" spans="1:6" ht="18" customHeight="1" x14ac:dyDescent="0.25">
      <c r="A30" s="1" t="s">
        <v>241</v>
      </c>
      <c r="B30" s="24" t="s">
        <v>234</v>
      </c>
      <c r="C30" s="6">
        <v>1</v>
      </c>
    </row>
    <row r="31" spans="1:6" ht="18" customHeight="1" x14ac:dyDescent="0.25">
      <c r="A31" s="1" t="s">
        <v>242</v>
      </c>
      <c r="B31" s="1" t="s">
        <v>134</v>
      </c>
      <c r="C31" s="6">
        <v>1</v>
      </c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11</v>
      </c>
      <c r="B38" s="2"/>
      <c r="C38" s="7">
        <f>SUM(C24:C37)</f>
        <v>20.5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243</v>
      </c>
      <c r="B43" s="1" t="s">
        <v>26</v>
      </c>
      <c r="C43" s="6">
        <v>1</v>
      </c>
    </row>
    <row r="44" spans="1:6" ht="18" customHeight="1" x14ac:dyDescent="0.25">
      <c r="A44" s="1" t="s">
        <v>244</v>
      </c>
      <c r="B44" s="1" t="s">
        <v>245</v>
      </c>
      <c r="C44" s="6">
        <v>3</v>
      </c>
    </row>
    <row r="45" spans="1:6" ht="18" customHeight="1" x14ac:dyDescent="0.25">
      <c r="A45" s="1" t="s">
        <v>246</v>
      </c>
      <c r="B45" s="1" t="s">
        <v>247</v>
      </c>
      <c r="C45" s="6">
        <v>1</v>
      </c>
    </row>
    <row r="46" spans="1:6" ht="18" customHeight="1" x14ac:dyDescent="0.25">
      <c r="A46" s="1" t="s">
        <v>248</v>
      </c>
      <c r="B46" s="1" t="s">
        <v>245</v>
      </c>
      <c r="C46" s="6">
        <v>0.5</v>
      </c>
    </row>
    <row r="47" spans="1:6" ht="18" customHeight="1" x14ac:dyDescent="0.25">
      <c r="A47" s="1" t="s">
        <v>249</v>
      </c>
      <c r="B47" s="1" t="s">
        <v>26</v>
      </c>
      <c r="C47" s="6">
        <v>2</v>
      </c>
    </row>
    <row r="48" spans="1:6" ht="18" customHeight="1" x14ac:dyDescent="0.25">
      <c r="A48" s="1" t="s">
        <v>250</v>
      </c>
      <c r="B48" s="1" t="s">
        <v>197</v>
      </c>
      <c r="C48" s="6">
        <v>1</v>
      </c>
    </row>
    <row r="49" spans="1:6" ht="18" customHeight="1" x14ac:dyDescent="0.25">
      <c r="A49" s="1" t="s">
        <v>251</v>
      </c>
      <c r="B49" s="1" t="s">
        <v>247</v>
      </c>
      <c r="C49" s="6">
        <v>1</v>
      </c>
    </row>
    <row r="50" spans="1:6" ht="18" customHeight="1" x14ac:dyDescent="0.25">
      <c r="A50" s="1" t="s">
        <v>241</v>
      </c>
      <c r="B50" s="1" t="s">
        <v>234</v>
      </c>
      <c r="C50" s="6">
        <v>1</v>
      </c>
    </row>
    <row r="51" spans="1:6" ht="18" customHeight="1" x14ac:dyDescent="0.25">
      <c r="A51" s="1" t="s">
        <v>252</v>
      </c>
      <c r="B51" s="1" t="s">
        <v>236</v>
      </c>
      <c r="C51" s="6">
        <v>5</v>
      </c>
    </row>
    <row r="52" spans="1:6" ht="18" customHeight="1" x14ac:dyDescent="0.25">
      <c r="A52" s="1" t="s">
        <v>253</v>
      </c>
      <c r="B52" s="1" t="s">
        <v>236</v>
      </c>
      <c r="C52" s="6">
        <v>3.5</v>
      </c>
    </row>
    <row r="53" spans="1:6" ht="18" customHeight="1" x14ac:dyDescent="0.25">
      <c r="A53" s="1" t="s">
        <v>254</v>
      </c>
      <c r="B53" s="1" t="s">
        <v>236</v>
      </c>
      <c r="C53" s="6">
        <v>2</v>
      </c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11</v>
      </c>
      <c r="B57" s="2"/>
      <c r="C57" s="7">
        <f>SUM(C43:C56)</f>
        <v>21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A709-233E-48B3-BBF9-E19F3CFC8304}">
  <dimension ref="A1:F57"/>
  <sheetViews>
    <sheetView workbookViewId="0">
      <selection activeCell="C42" sqref="C42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255</v>
      </c>
      <c r="B5" s="1"/>
      <c r="C5" s="6">
        <v>5</v>
      </c>
    </row>
    <row r="6" spans="1:6" ht="18" customHeight="1" x14ac:dyDescent="0.25">
      <c r="A6" s="1" t="s">
        <v>256</v>
      </c>
      <c r="B6" s="1"/>
      <c r="C6" s="6">
        <v>6</v>
      </c>
    </row>
    <row r="7" spans="1:6" ht="18" customHeight="1" x14ac:dyDescent="0.25">
      <c r="A7" s="1" t="s">
        <v>257</v>
      </c>
      <c r="B7" s="1"/>
      <c r="C7" s="6">
        <v>6</v>
      </c>
    </row>
    <row r="8" spans="1:6" ht="18" customHeight="1" x14ac:dyDescent="0.25">
      <c r="A8" s="1" t="s">
        <v>258</v>
      </c>
      <c r="B8" s="1"/>
      <c r="C8" s="6">
        <v>4</v>
      </c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259</v>
      </c>
      <c r="B19" s="2"/>
      <c r="C19" s="7">
        <f>SUM(C5:C18)</f>
        <v>21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260</v>
      </c>
      <c r="B24" s="1" t="s">
        <v>34</v>
      </c>
      <c r="C24" s="6">
        <v>1</v>
      </c>
    </row>
    <row r="25" spans="1:6" ht="18" customHeight="1" x14ac:dyDescent="0.25">
      <c r="A25" s="1" t="s">
        <v>261</v>
      </c>
      <c r="B25" s="1" t="s">
        <v>262</v>
      </c>
      <c r="C25" s="6">
        <v>2</v>
      </c>
    </row>
    <row r="26" spans="1:6" ht="18" customHeight="1" x14ac:dyDescent="0.25">
      <c r="A26" s="1" t="s">
        <v>263</v>
      </c>
      <c r="B26" s="1" t="s">
        <v>141</v>
      </c>
      <c r="C26" s="6">
        <v>3</v>
      </c>
    </row>
    <row r="27" spans="1:6" ht="18" customHeight="1" x14ac:dyDescent="0.25">
      <c r="A27" s="1" t="s">
        <v>264</v>
      </c>
      <c r="B27" s="1" t="s">
        <v>134</v>
      </c>
      <c r="C27" s="6">
        <v>4</v>
      </c>
    </row>
    <row r="28" spans="1:6" ht="18" customHeight="1" x14ac:dyDescent="0.25">
      <c r="A28" s="1" t="s">
        <v>265</v>
      </c>
      <c r="B28" s="1" t="s">
        <v>141</v>
      </c>
      <c r="C28" s="6">
        <v>3</v>
      </c>
    </row>
    <row r="29" spans="1:6" ht="18" customHeight="1" x14ac:dyDescent="0.25">
      <c r="A29" s="1" t="s">
        <v>266</v>
      </c>
      <c r="B29" s="1" t="s">
        <v>141</v>
      </c>
      <c r="C29" s="6">
        <v>5</v>
      </c>
    </row>
    <row r="30" spans="1:6" ht="18" customHeight="1" x14ac:dyDescent="0.25">
      <c r="A30" s="1" t="s">
        <v>267</v>
      </c>
      <c r="B30" s="1" t="s">
        <v>141</v>
      </c>
      <c r="C30" s="6">
        <v>1.5</v>
      </c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12</v>
      </c>
      <c r="B38" s="2"/>
      <c r="C38" s="7">
        <f>SUM(C24:C37)</f>
        <v>19.5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261</v>
      </c>
      <c r="B43" s="1" t="s">
        <v>262</v>
      </c>
      <c r="C43" s="6">
        <v>2</v>
      </c>
    </row>
    <row r="44" spans="1:6" ht="18" customHeight="1" x14ac:dyDescent="0.25">
      <c r="A44" s="1" t="s">
        <v>268</v>
      </c>
      <c r="B44" s="1" t="s">
        <v>47</v>
      </c>
      <c r="C44" s="6">
        <v>1.5</v>
      </c>
    </row>
    <row r="45" spans="1:6" ht="18" customHeight="1" x14ac:dyDescent="0.25">
      <c r="A45" s="1" t="s">
        <v>269</v>
      </c>
      <c r="B45" s="1" t="s">
        <v>47</v>
      </c>
      <c r="C45" s="6">
        <v>1.5</v>
      </c>
    </row>
    <row r="46" spans="1:6" ht="18" customHeight="1" x14ac:dyDescent="0.25">
      <c r="A46" s="1" t="s">
        <v>270</v>
      </c>
      <c r="B46" s="1" t="s">
        <v>47</v>
      </c>
      <c r="C46" s="6">
        <v>4</v>
      </c>
    </row>
    <row r="47" spans="1:6" ht="18" customHeight="1" x14ac:dyDescent="0.25">
      <c r="A47" s="1" t="s">
        <v>271</v>
      </c>
      <c r="B47" s="1" t="s">
        <v>47</v>
      </c>
      <c r="C47" s="6">
        <v>2.5</v>
      </c>
    </row>
    <row r="48" spans="1:6" ht="18" customHeight="1" x14ac:dyDescent="0.25">
      <c r="A48" s="1" t="s">
        <v>272</v>
      </c>
      <c r="B48" s="1" t="s">
        <v>178</v>
      </c>
      <c r="C48" s="6">
        <v>2</v>
      </c>
    </row>
    <row r="49" spans="1:6" ht="18" customHeight="1" x14ac:dyDescent="0.25">
      <c r="A49" s="1" t="s">
        <v>273</v>
      </c>
      <c r="B49" s="1" t="s">
        <v>178</v>
      </c>
      <c r="C49" s="6">
        <v>4.5</v>
      </c>
    </row>
    <row r="50" spans="1:6" ht="18" customHeight="1" x14ac:dyDescent="0.25">
      <c r="A50" s="1"/>
      <c r="B50" s="1"/>
      <c r="C50" s="6"/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12</v>
      </c>
      <c r="B57" s="2"/>
      <c r="C57" s="7">
        <f>SUM(C43:C56)</f>
        <v>18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B857-22F1-4F37-A2F4-47843CC52DF6}">
  <dimension ref="A1:F57"/>
  <sheetViews>
    <sheetView topLeftCell="A3" workbookViewId="0">
      <selection activeCell="C8" sqref="C8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274</v>
      </c>
      <c r="B5" s="1"/>
      <c r="C5" s="6">
        <v>6</v>
      </c>
    </row>
    <row r="6" spans="1:6" ht="18" customHeight="1" x14ac:dyDescent="0.25">
      <c r="A6" s="1" t="s">
        <v>275</v>
      </c>
      <c r="B6" s="1"/>
      <c r="C6" s="6">
        <v>6</v>
      </c>
    </row>
    <row r="7" spans="1:6" ht="18" customHeight="1" x14ac:dyDescent="0.25">
      <c r="A7" s="1" t="s">
        <v>276</v>
      </c>
      <c r="B7" s="1"/>
      <c r="C7" s="6">
        <v>1</v>
      </c>
    </row>
    <row r="8" spans="1:6" ht="18" customHeight="1" x14ac:dyDescent="0.25">
      <c r="A8" s="1" t="s">
        <v>277</v>
      </c>
      <c r="B8" s="1"/>
      <c r="C8" s="6">
        <v>3</v>
      </c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278</v>
      </c>
      <c r="B19" s="2"/>
      <c r="C19" s="7">
        <f>SUM(C5:C18)</f>
        <v>16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279</v>
      </c>
      <c r="B24" s="1" t="s">
        <v>34</v>
      </c>
      <c r="C24" s="6">
        <v>1</v>
      </c>
    </row>
    <row r="25" spans="1:6" ht="18" customHeight="1" x14ac:dyDescent="0.25">
      <c r="A25" s="1" t="s">
        <v>280</v>
      </c>
      <c r="B25" s="1" t="s">
        <v>141</v>
      </c>
      <c r="C25" s="6">
        <v>3</v>
      </c>
    </row>
    <row r="26" spans="1:6" ht="18" customHeight="1" x14ac:dyDescent="0.25">
      <c r="A26" s="1" t="s">
        <v>281</v>
      </c>
      <c r="B26" s="1" t="s">
        <v>141</v>
      </c>
      <c r="C26" s="6">
        <v>4.5</v>
      </c>
    </row>
    <row r="27" spans="1:6" ht="18" customHeight="1" x14ac:dyDescent="0.25">
      <c r="A27" s="1" t="s">
        <v>282</v>
      </c>
      <c r="B27" s="1" t="s">
        <v>283</v>
      </c>
      <c r="C27" s="6">
        <v>2</v>
      </c>
    </row>
    <row r="28" spans="1:6" ht="18" customHeight="1" x14ac:dyDescent="0.25">
      <c r="A28" s="1" t="s">
        <v>284</v>
      </c>
      <c r="B28" s="1" t="s">
        <v>141</v>
      </c>
      <c r="C28" s="6">
        <v>5</v>
      </c>
    </row>
    <row r="29" spans="1:6" ht="18" customHeight="1" x14ac:dyDescent="0.25">
      <c r="A29" s="1" t="s">
        <v>285</v>
      </c>
      <c r="B29" s="1" t="s">
        <v>286</v>
      </c>
      <c r="C29" s="6">
        <v>3.5</v>
      </c>
    </row>
    <row r="30" spans="1:6" ht="18" customHeight="1" x14ac:dyDescent="0.25">
      <c r="A30" s="1" t="s">
        <v>287</v>
      </c>
      <c r="B30" s="1" t="s">
        <v>288</v>
      </c>
      <c r="C30" s="6">
        <v>2</v>
      </c>
    </row>
    <row r="31" spans="1:6" ht="18" customHeight="1" x14ac:dyDescent="0.25">
      <c r="A31" s="1" t="s">
        <v>289</v>
      </c>
      <c r="B31" s="1" t="s">
        <v>34</v>
      </c>
      <c r="C31" s="6">
        <v>0.8</v>
      </c>
    </row>
    <row r="32" spans="1:6" ht="18" customHeight="1" x14ac:dyDescent="0.25">
      <c r="A32" s="1" t="s">
        <v>290</v>
      </c>
      <c r="B32" s="1" t="s">
        <v>197</v>
      </c>
      <c r="C32" s="6">
        <v>1.5</v>
      </c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13</v>
      </c>
      <c r="B38" s="2"/>
      <c r="C38" s="7">
        <f>SUM(C24:C37)</f>
        <v>23.3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291</v>
      </c>
      <c r="B43" s="1" t="s">
        <v>26</v>
      </c>
      <c r="C43" s="6">
        <v>0.5</v>
      </c>
    </row>
    <row r="44" spans="1:6" ht="18" customHeight="1" x14ac:dyDescent="0.25">
      <c r="A44" s="1" t="s">
        <v>292</v>
      </c>
      <c r="B44" s="1" t="s">
        <v>178</v>
      </c>
      <c r="C44" s="6">
        <v>2</v>
      </c>
    </row>
    <row r="45" spans="1:6" ht="18" customHeight="1" x14ac:dyDescent="0.25">
      <c r="A45" s="1" t="s">
        <v>293</v>
      </c>
      <c r="B45" s="1" t="s">
        <v>288</v>
      </c>
      <c r="C45" s="6">
        <v>5</v>
      </c>
    </row>
    <row r="46" spans="1:6" ht="18" customHeight="1" x14ac:dyDescent="0.25">
      <c r="A46" s="1" t="s">
        <v>294</v>
      </c>
      <c r="B46" s="1" t="s">
        <v>288</v>
      </c>
      <c r="C46" s="6">
        <v>6.5</v>
      </c>
    </row>
    <row r="47" spans="1:6" ht="18" customHeight="1" x14ac:dyDescent="0.25">
      <c r="A47" s="1" t="s">
        <v>287</v>
      </c>
      <c r="B47" s="1" t="s">
        <v>288</v>
      </c>
      <c r="C47" s="6">
        <v>7</v>
      </c>
    </row>
    <row r="48" spans="1:6" ht="18" customHeight="1" x14ac:dyDescent="0.25">
      <c r="A48" s="1" t="s">
        <v>295</v>
      </c>
      <c r="B48" s="1" t="s">
        <v>288</v>
      </c>
      <c r="C48" s="6">
        <v>3</v>
      </c>
    </row>
    <row r="49" spans="1:6" ht="18" customHeight="1" x14ac:dyDescent="0.25">
      <c r="A49" s="1" t="s">
        <v>296</v>
      </c>
      <c r="B49" s="1" t="s">
        <v>288</v>
      </c>
      <c r="C49" s="6">
        <v>2</v>
      </c>
    </row>
    <row r="50" spans="1:6" ht="18" customHeight="1" x14ac:dyDescent="0.25">
      <c r="A50" s="1" t="s">
        <v>289</v>
      </c>
      <c r="B50" s="1" t="s">
        <v>288</v>
      </c>
      <c r="C50" s="6">
        <v>0.5</v>
      </c>
    </row>
    <row r="51" spans="1:6" ht="18" customHeight="1" x14ac:dyDescent="0.25">
      <c r="A51" s="1" t="s">
        <v>297</v>
      </c>
      <c r="B51" s="1" t="s">
        <v>197</v>
      </c>
      <c r="C51" s="6">
        <v>0.5</v>
      </c>
    </row>
    <row r="52" spans="1:6" ht="18" customHeight="1" x14ac:dyDescent="0.25">
      <c r="A52" s="1" t="s">
        <v>298</v>
      </c>
      <c r="B52" s="1" t="s">
        <v>47</v>
      </c>
      <c r="C52" s="6">
        <v>1.5</v>
      </c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13</v>
      </c>
      <c r="B57" s="2"/>
      <c r="C57" s="7">
        <f>SUM(C43:C56)</f>
        <v>28.5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42ED-5BEA-4226-8029-7A6F9C7970E5}">
  <dimension ref="A1:F57"/>
  <sheetViews>
    <sheetView topLeftCell="A33" workbookViewId="0">
      <selection activeCell="F48" sqref="F48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/>
      <c r="B5" s="1"/>
      <c r="C5" s="6"/>
    </row>
    <row r="6" spans="1:6" ht="18" customHeight="1" x14ac:dyDescent="0.25">
      <c r="A6" s="1"/>
      <c r="B6" s="1"/>
      <c r="C6" s="6"/>
    </row>
    <row r="7" spans="1:6" ht="18" customHeight="1" x14ac:dyDescent="0.25">
      <c r="A7" s="1"/>
      <c r="B7" s="1"/>
      <c r="C7" s="6"/>
    </row>
    <row r="8" spans="1:6" ht="18" customHeight="1" x14ac:dyDescent="0.25">
      <c r="A8" s="1"/>
      <c r="B8" s="1"/>
      <c r="C8" s="6"/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299</v>
      </c>
      <c r="B19" s="2"/>
      <c r="C19" s="7">
        <f>SUM(C5:C18)</f>
        <v>0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300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/>
      <c r="B24" s="1"/>
      <c r="C24" s="6"/>
    </row>
    <row r="25" spans="1:6" ht="18" customHeight="1" x14ac:dyDescent="0.25">
      <c r="A25" s="1"/>
      <c r="B25" s="1"/>
      <c r="C25" s="6"/>
    </row>
    <row r="26" spans="1:6" ht="18" customHeight="1" x14ac:dyDescent="0.25">
      <c r="A26" s="1"/>
      <c r="B26" s="1"/>
      <c r="C26" s="6"/>
    </row>
    <row r="27" spans="1:6" ht="18" customHeight="1" x14ac:dyDescent="0.25">
      <c r="A27" s="1"/>
      <c r="B27" s="1"/>
      <c r="C27" s="6"/>
    </row>
    <row r="28" spans="1:6" ht="18" customHeight="1" x14ac:dyDescent="0.25">
      <c r="A28" s="1"/>
      <c r="B28" s="1"/>
      <c r="C28" s="6"/>
    </row>
    <row r="29" spans="1:6" ht="18" customHeight="1" x14ac:dyDescent="0.25">
      <c r="A29" s="1"/>
      <c r="B29" s="1"/>
      <c r="C29" s="6"/>
    </row>
    <row r="30" spans="1:6" ht="18" customHeight="1" x14ac:dyDescent="0.25">
      <c r="A30" s="1"/>
      <c r="B30" s="1"/>
      <c r="C30" s="6"/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14</v>
      </c>
      <c r="B38" s="2"/>
      <c r="C38" s="7">
        <f>SUM(C24:C37)</f>
        <v>0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301</v>
      </c>
      <c r="B43" s="1" t="s">
        <v>47</v>
      </c>
      <c r="C43" s="6">
        <v>9</v>
      </c>
    </row>
    <row r="44" spans="1:6" ht="18" customHeight="1" x14ac:dyDescent="0.25">
      <c r="A44" s="1"/>
      <c r="B44" s="1"/>
      <c r="C44" s="6"/>
    </row>
    <row r="45" spans="1:6" ht="18" customHeight="1" x14ac:dyDescent="0.25">
      <c r="A45" s="1"/>
      <c r="B45" s="1"/>
      <c r="C45" s="6"/>
    </row>
    <row r="46" spans="1:6" ht="18" customHeight="1" x14ac:dyDescent="0.25">
      <c r="A46" s="1"/>
      <c r="B46" s="1"/>
      <c r="C46" s="6"/>
    </row>
    <row r="47" spans="1:6" ht="18" customHeight="1" x14ac:dyDescent="0.25">
      <c r="A47" s="1"/>
      <c r="B47" s="1"/>
      <c r="C47" s="6"/>
    </row>
    <row r="48" spans="1:6" ht="18" customHeight="1" x14ac:dyDescent="0.25">
      <c r="A48" s="1"/>
      <c r="B48" s="1"/>
      <c r="C48" s="6"/>
    </row>
    <row r="49" spans="1:6" ht="18" customHeight="1" x14ac:dyDescent="0.25">
      <c r="A49" s="1"/>
      <c r="B49" s="1"/>
      <c r="C49" s="6"/>
    </row>
    <row r="50" spans="1:6" ht="18" customHeight="1" x14ac:dyDescent="0.25">
      <c r="A50" s="1"/>
      <c r="B50" s="1"/>
      <c r="C50" s="6"/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14</v>
      </c>
      <c r="B57" s="2"/>
      <c r="C57" s="7">
        <f>SUM(C43:C56)</f>
        <v>9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E84A-72D3-4A64-9E28-A64C202E6661}">
  <dimension ref="A1:F57"/>
  <sheetViews>
    <sheetView topLeftCell="A29" workbookViewId="0">
      <selection activeCell="A6" sqref="A6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302</v>
      </c>
      <c r="B5" s="1"/>
      <c r="C5" s="6">
        <v>0.5</v>
      </c>
    </row>
    <row r="6" spans="1:6" ht="18" customHeight="1" x14ac:dyDescent="0.25">
      <c r="A6" s="1"/>
      <c r="B6" s="1"/>
      <c r="C6" s="6"/>
    </row>
    <row r="7" spans="1:6" ht="18" customHeight="1" x14ac:dyDescent="0.25">
      <c r="A7" s="1"/>
      <c r="B7" s="1"/>
      <c r="C7" s="6"/>
    </row>
    <row r="8" spans="1:6" ht="18" customHeight="1" x14ac:dyDescent="0.25">
      <c r="A8" s="1"/>
      <c r="B8" s="1"/>
      <c r="C8" s="6"/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303</v>
      </c>
      <c r="B19" s="2"/>
      <c r="C19" s="7">
        <f>SUM(C5:C18)</f>
        <v>0.5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300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304</v>
      </c>
      <c r="B24" s="1"/>
      <c r="C24" s="6">
        <v>1.5</v>
      </c>
    </row>
    <row r="25" spans="1:6" ht="18" customHeight="1" x14ac:dyDescent="0.25">
      <c r="A25" s="1" t="s">
        <v>305</v>
      </c>
      <c r="B25" s="1" t="s">
        <v>34</v>
      </c>
      <c r="C25" s="6">
        <v>1</v>
      </c>
    </row>
    <row r="26" spans="1:6" ht="18" customHeight="1" x14ac:dyDescent="0.25">
      <c r="A26" s="1"/>
      <c r="B26" s="1"/>
      <c r="C26" s="6"/>
    </row>
    <row r="27" spans="1:6" ht="18" customHeight="1" x14ac:dyDescent="0.25">
      <c r="A27" s="1"/>
      <c r="B27" s="1"/>
      <c r="C27" s="6"/>
    </row>
    <row r="28" spans="1:6" ht="18" customHeight="1" x14ac:dyDescent="0.25">
      <c r="A28" s="1"/>
      <c r="B28" s="1"/>
      <c r="C28" s="6"/>
    </row>
    <row r="29" spans="1:6" ht="18" customHeight="1" x14ac:dyDescent="0.25">
      <c r="A29" s="1"/>
      <c r="B29" s="1"/>
      <c r="C29" s="6"/>
    </row>
    <row r="30" spans="1:6" ht="18" customHeight="1" x14ac:dyDescent="0.25">
      <c r="A30" s="1"/>
      <c r="B30" s="1"/>
      <c r="C30" s="6"/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15</v>
      </c>
      <c r="B38" s="2"/>
      <c r="C38" s="7">
        <f>SUM(C24:C37)</f>
        <v>2.5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305</v>
      </c>
      <c r="B43" s="1" t="s">
        <v>26</v>
      </c>
      <c r="C43" s="6">
        <v>1</v>
      </c>
    </row>
    <row r="44" spans="1:6" ht="18" customHeight="1" x14ac:dyDescent="0.25">
      <c r="A44" s="1"/>
      <c r="B44" s="1"/>
      <c r="C44" s="6"/>
    </row>
    <row r="45" spans="1:6" ht="18" customHeight="1" x14ac:dyDescent="0.25">
      <c r="A45" s="1"/>
      <c r="B45" s="1"/>
      <c r="C45" s="6"/>
    </row>
    <row r="46" spans="1:6" ht="18" customHeight="1" x14ac:dyDescent="0.25">
      <c r="A46" s="1"/>
      <c r="B46" s="1"/>
      <c r="C46" s="6"/>
    </row>
    <row r="47" spans="1:6" ht="18" customHeight="1" x14ac:dyDescent="0.25">
      <c r="A47" s="1"/>
      <c r="B47" s="1"/>
      <c r="C47" s="6"/>
    </row>
    <row r="48" spans="1:6" ht="18" customHeight="1" x14ac:dyDescent="0.25">
      <c r="A48" s="1"/>
      <c r="B48" s="1"/>
      <c r="C48" s="6"/>
    </row>
    <row r="49" spans="1:6" ht="18" customHeight="1" x14ac:dyDescent="0.25">
      <c r="A49" s="1"/>
      <c r="B49" s="1"/>
      <c r="C49" s="6"/>
    </row>
    <row r="50" spans="1:6" ht="18" customHeight="1" x14ac:dyDescent="0.25">
      <c r="A50" s="1"/>
      <c r="B50" s="1"/>
      <c r="C50" s="6"/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15</v>
      </c>
      <c r="B57" s="2"/>
      <c r="C57" s="7">
        <f>SUM(C43:C56)</f>
        <v>1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157F-BB90-4CD5-A35B-083A1B3BA090}">
  <dimension ref="A1:F57"/>
  <sheetViews>
    <sheetView topLeftCell="A34" workbookViewId="0">
      <selection activeCell="C42" sqref="C42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306</v>
      </c>
      <c r="B5" s="1"/>
      <c r="C5" s="6">
        <v>1</v>
      </c>
    </row>
    <row r="6" spans="1:6" ht="18" customHeight="1" x14ac:dyDescent="0.25">
      <c r="A6" s="1" t="s">
        <v>307</v>
      </c>
      <c r="B6" s="1"/>
      <c r="C6" s="6">
        <v>4.5</v>
      </c>
    </row>
    <row r="7" spans="1:6" ht="18" customHeight="1" x14ac:dyDescent="0.25">
      <c r="A7" s="1" t="s">
        <v>308</v>
      </c>
      <c r="B7" s="1"/>
      <c r="C7" s="6">
        <v>2.5</v>
      </c>
    </row>
    <row r="8" spans="1:6" ht="18" customHeight="1" x14ac:dyDescent="0.25">
      <c r="A8" s="1"/>
      <c r="B8" s="1"/>
      <c r="C8" s="6"/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309</v>
      </c>
      <c r="B19" s="2"/>
      <c r="C19" s="7">
        <f>SUM(C5:C18)</f>
        <v>8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310</v>
      </c>
      <c r="B24" s="1"/>
      <c r="C24" s="6">
        <v>2</v>
      </c>
    </row>
    <row r="25" spans="1:6" ht="18" customHeight="1" x14ac:dyDescent="0.25">
      <c r="A25" s="1" t="s">
        <v>311</v>
      </c>
      <c r="B25" s="1"/>
      <c r="C25" s="6">
        <v>2</v>
      </c>
    </row>
    <row r="26" spans="1:6" ht="18" customHeight="1" x14ac:dyDescent="0.25">
      <c r="A26" s="1" t="s">
        <v>312</v>
      </c>
      <c r="B26" s="1" t="s">
        <v>313</v>
      </c>
      <c r="C26" s="6">
        <v>5</v>
      </c>
    </row>
    <row r="27" spans="1:6" ht="18" customHeight="1" x14ac:dyDescent="0.25">
      <c r="A27" s="1" t="s">
        <v>306</v>
      </c>
      <c r="B27" s="1" t="s">
        <v>34</v>
      </c>
      <c r="C27" s="6">
        <v>1</v>
      </c>
    </row>
    <row r="28" spans="1:6" ht="18" customHeight="1" x14ac:dyDescent="0.25">
      <c r="A28" s="1" t="s">
        <v>314</v>
      </c>
      <c r="B28" s="1" t="s">
        <v>313</v>
      </c>
      <c r="C28" s="6">
        <v>6</v>
      </c>
    </row>
    <row r="29" spans="1:6" ht="18" customHeight="1" x14ac:dyDescent="0.25">
      <c r="A29" s="1" t="s">
        <v>315</v>
      </c>
      <c r="B29" s="1" t="s">
        <v>313</v>
      </c>
      <c r="C29" s="6">
        <v>3</v>
      </c>
    </row>
    <row r="30" spans="1:6" ht="18" customHeight="1" x14ac:dyDescent="0.25">
      <c r="A30" s="1"/>
      <c r="B30" s="1"/>
      <c r="C30" s="6"/>
    </row>
    <row r="31" spans="1:6" ht="18" customHeight="1" x14ac:dyDescent="0.25">
      <c r="A31" s="1"/>
      <c r="B31" s="1"/>
      <c r="C31" s="6"/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16</v>
      </c>
      <c r="B38" s="2"/>
      <c r="C38" s="7">
        <f>SUM(C24:C37)</f>
        <v>19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306</v>
      </c>
      <c r="B43" s="1" t="s">
        <v>34</v>
      </c>
      <c r="C43" s="6">
        <v>1</v>
      </c>
    </row>
    <row r="44" spans="1:6" ht="18" customHeight="1" x14ac:dyDescent="0.25">
      <c r="A44" s="1" t="s">
        <v>316</v>
      </c>
      <c r="B44" s="1" t="s">
        <v>313</v>
      </c>
      <c r="C44" s="6">
        <v>5</v>
      </c>
    </row>
    <row r="45" spans="1:6" ht="18" customHeight="1" x14ac:dyDescent="0.25">
      <c r="A45" s="1" t="s">
        <v>317</v>
      </c>
      <c r="B45" s="1" t="s">
        <v>318</v>
      </c>
      <c r="C45" s="6">
        <v>3</v>
      </c>
    </row>
    <row r="46" spans="1:6" ht="18" customHeight="1" x14ac:dyDescent="0.25">
      <c r="A46" s="1" t="s">
        <v>319</v>
      </c>
      <c r="B46" s="1" t="s">
        <v>313</v>
      </c>
      <c r="C46" s="6">
        <v>10</v>
      </c>
    </row>
    <row r="47" spans="1:6" ht="18" customHeight="1" x14ac:dyDescent="0.25">
      <c r="A47" s="1" t="s">
        <v>320</v>
      </c>
      <c r="B47" s="1" t="s">
        <v>313</v>
      </c>
      <c r="C47" s="6">
        <f>2+7</f>
        <v>9</v>
      </c>
    </row>
    <row r="48" spans="1:6" ht="18" customHeight="1" x14ac:dyDescent="0.25">
      <c r="A48" s="1"/>
      <c r="B48" s="1"/>
      <c r="C48" s="6"/>
    </row>
    <row r="49" spans="1:6" ht="18" customHeight="1" x14ac:dyDescent="0.25">
      <c r="A49" s="1"/>
      <c r="B49" s="1"/>
      <c r="C49" s="6"/>
    </row>
    <row r="50" spans="1:6" ht="18" customHeight="1" x14ac:dyDescent="0.25">
      <c r="A50" s="1"/>
      <c r="B50" s="1"/>
      <c r="C50" s="6"/>
    </row>
    <row r="51" spans="1:6" ht="18" customHeight="1" x14ac:dyDescent="0.25">
      <c r="A51" s="1"/>
      <c r="B51" s="1"/>
      <c r="C51" s="6"/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16</v>
      </c>
      <c r="B57" s="2"/>
      <c r="C57" s="7">
        <f>SUM(C43:C56)</f>
        <v>28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422E-D9C4-4FC7-9DB7-3ABD9443136D}">
  <dimension ref="A1:F57"/>
  <sheetViews>
    <sheetView topLeftCell="A22" workbookViewId="0">
      <selection activeCell="E21" sqref="E21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321</v>
      </c>
      <c r="B5" s="1"/>
      <c r="C5" s="6">
        <v>1</v>
      </c>
    </row>
    <row r="6" spans="1:6" ht="18" customHeight="1" x14ac:dyDescent="0.25">
      <c r="A6" s="1" t="s">
        <v>322</v>
      </c>
      <c r="B6" s="1"/>
      <c r="C6" s="6">
        <v>4</v>
      </c>
    </row>
    <row r="7" spans="1:6" ht="18" customHeight="1" x14ac:dyDescent="0.25">
      <c r="A7" s="1" t="s">
        <v>323</v>
      </c>
      <c r="B7" s="1"/>
      <c r="C7" s="6">
        <v>3.5</v>
      </c>
    </row>
    <row r="8" spans="1:6" ht="18" customHeight="1" x14ac:dyDescent="0.25">
      <c r="A8" s="1" t="s">
        <v>324</v>
      </c>
      <c r="B8" s="1"/>
      <c r="C8" s="6">
        <v>4</v>
      </c>
    </row>
    <row r="9" spans="1:6" ht="18" customHeight="1" x14ac:dyDescent="0.25">
      <c r="A9" s="1" t="s">
        <v>325</v>
      </c>
      <c r="B9" s="1"/>
      <c r="C9" s="6">
        <v>5</v>
      </c>
    </row>
    <row r="10" spans="1:6" ht="18" customHeight="1" x14ac:dyDescent="0.25">
      <c r="A10" s="1" t="s">
        <v>326</v>
      </c>
      <c r="B10" s="1"/>
      <c r="C10" s="6">
        <v>6</v>
      </c>
    </row>
    <row r="11" spans="1:6" ht="18" customHeight="1" x14ac:dyDescent="0.25">
      <c r="A11" s="1" t="s">
        <v>327</v>
      </c>
      <c r="B11" s="1"/>
      <c r="C11" s="6">
        <v>4</v>
      </c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328</v>
      </c>
      <c r="B19" s="2"/>
      <c r="C19" s="7">
        <f>SUM(C5:C18)</f>
        <v>27.5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321</v>
      </c>
      <c r="B24" s="1" t="s">
        <v>34</v>
      </c>
      <c r="C24" s="6">
        <v>1</v>
      </c>
    </row>
    <row r="25" spans="1:6" ht="18" customHeight="1" x14ac:dyDescent="0.25">
      <c r="A25" s="1" t="s">
        <v>329</v>
      </c>
      <c r="B25" s="1" t="s">
        <v>141</v>
      </c>
      <c r="C25" s="6">
        <v>1</v>
      </c>
    </row>
    <row r="26" spans="1:6" ht="18" customHeight="1" x14ac:dyDescent="0.25">
      <c r="A26" s="1" t="s">
        <v>330</v>
      </c>
      <c r="B26" s="1" t="s">
        <v>283</v>
      </c>
      <c r="C26" s="6">
        <v>5</v>
      </c>
    </row>
    <row r="27" spans="1:6" ht="18" customHeight="1" x14ac:dyDescent="0.25">
      <c r="A27" s="1" t="s">
        <v>331</v>
      </c>
      <c r="B27" s="1" t="s">
        <v>141</v>
      </c>
      <c r="C27" s="6">
        <v>3</v>
      </c>
    </row>
    <row r="28" spans="1:6" ht="18" customHeight="1" x14ac:dyDescent="0.25">
      <c r="A28" s="1" t="s">
        <v>332</v>
      </c>
      <c r="B28" s="1" t="s">
        <v>333</v>
      </c>
      <c r="C28" s="6">
        <v>2.5</v>
      </c>
    </row>
    <row r="29" spans="1:6" ht="18" customHeight="1" x14ac:dyDescent="0.25">
      <c r="A29" s="1" t="s">
        <v>334</v>
      </c>
      <c r="B29" s="1" t="s">
        <v>333</v>
      </c>
      <c r="C29" s="6">
        <v>2</v>
      </c>
    </row>
    <row r="30" spans="1:6" ht="18" customHeight="1" x14ac:dyDescent="0.25">
      <c r="A30" s="1" t="s">
        <v>335</v>
      </c>
      <c r="B30" s="1" t="s">
        <v>318</v>
      </c>
      <c r="C30" s="6">
        <v>1</v>
      </c>
    </row>
    <row r="31" spans="1:6" ht="18" customHeight="1" x14ac:dyDescent="0.25">
      <c r="A31" s="1" t="s">
        <v>336</v>
      </c>
      <c r="B31" s="1" t="s">
        <v>318</v>
      </c>
      <c r="C31" s="6">
        <v>3</v>
      </c>
    </row>
    <row r="32" spans="1:6" ht="18" customHeight="1" x14ac:dyDescent="0.25">
      <c r="A32" s="1" t="s">
        <v>337</v>
      </c>
      <c r="B32" s="1" t="s">
        <v>318</v>
      </c>
      <c r="C32" s="6">
        <v>3.5</v>
      </c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17</v>
      </c>
      <c r="B38" s="2"/>
      <c r="C38" s="7">
        <f>SUM(C24:C37)</f>
        <v>22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321</v>
      </c>
      <c r="B43" s="1" t="s">
        <v>34</v>
      </c>
      <c r="C43" s="6">
        <v>1</v>
      </c>
    </row>
    <row r="44" spans="1:6" ht="18" customHeight="1" x14ac:dyDescent="0.25">
      <c r="A44" s="1" t="s">
        <v>338</v>
      </c>
      <c r="B44" s="1" t="s">
        <v>141</v>
      </c>
      <c r="C44" s="6">
        <v>5</v>
      </c>
    </row>
    <row r="45" spans="1:6" ht="18" customHeight="1" x14ac:dyDescent="0.25">
      <c r="A45" s="1" t="s">
        <v>339</v>
      </c>
      <c r="B45" s="1" t="s">
        <v>141</v>
      </c>
      <c r="C45" s="6">
        <v>3</v>
      </c>
    </row>
    <row r="46" spans="1:6" ht="18" customHeight="1" x14ac:dyDescent="0.25">
      <c r="A46" s="1" t="s">
        <v>340</v>
      </c>
      <c r="B46" s="1" t="s">
        <v>141</v>
      </c>
      <c r="C46" s="6">
        <v>3</v>
      </c>
    </row>
    <row r="47" spans="1:6" ht="18" customHeight="1" x14ac:dyDescent="0.25">
      <c r="A47" s="1" t="s">
        <v>341</v>
      </c>
      <c r="B47" s="1" t="s">
        <v>141</v>
      </c>
      <c r="C47" s="6">
        <v>1.5</v>
      </c>
    </row>
    <row r="48" spans="1:6" ht="18" customHeight="1" x14ac:dyDescent="0.25">
      <c r="A48" s="1" t="s">
        <v>342</v>
      </c>
      <c r="B48" s="1" t="s">
        <v>318</v>
      </c>
      <c r="C48" s="6">
        <v>1.5</v>
      </c>
    </row>
    <row r="49" spans="1:6" ht="18" customHeight="1" x14ac:dyDescent="0.25">
      <c r="A49" s="1" t="s">
        <v>343</v>
      </c>
      <c r="B49" s="1" t="s">
        <v>318</v>
      </c>
      <c r="C49" s="6">
        <v>3</v>
      </c>
    </row>
    <row r="50" spans="1:6" ht="18" customHeight="1" x14ac:dyDescent="0.25">
      <c r="A50" s="1" t="s">
        <v>344</v>
      </c>
      <c r="B50" s="1" t="s">
        <v>318</v>
      </c>
      <c r="C50" s="6">
        <v>2</v>
      </c>
    </row>
    <row r="51" spans="1:6" ht="18" customHeight="1" x14ac:dyDescent="0.25">
      <c r="A51" s="1" t="s">
        <v>345</v>
      </c>
      <c r="B51" s="1" t="s">
        <v>333</v>
      </c>
      <c r="C51" s="6">
        <v>3</v>
      </c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17</v>
      </c>
      <c r="B57" s="2"/>
      <c r="C57" s="7">
        <f>SUM(C43:C56)</f>
        <v>23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425C-6265-4597-A35B-7D4A82800FF3}">
  <dimension ref="A1:F57"/>
  <sheetViews>
    <sheetView topLeftCell="A16" workbookViewId="0">
      <selection activeCell="E34" sqref="E34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346</v>
      </c>
      <c r="B5" s="1"/>
      <c r="C5" s="6">
        <v>1</v>
      </c>
    </row>
    <row r="6" spans="1:6" ht="18" customHeight="1" x14ac:dyDescent="0.25">
      <c r="A6" s="1" t="s">
        <v>347</v>
      </c>
      <c r="B6" s="1"/>
      <c r="C6" s="6">
        <v>2</v>
      </c>
    </row>
    <row r="7" spans="1:6" ht="18" customHeight="1" x14ac:dyDescent="0.25">
      <c r="A7" s="1" t="s">
        <v>348</v>
      </c>
      <c r="B7" s="1"/>
      <c r="C7" s="6">
        <v>0.5</v>
      </c>
    </row>
    <row r="8" spans="1:6" ht="18" customHeight="1" x14ac:dyDescent="0.25">
      <c r="A8" s="1" t="s">
        <v>349</v>
      </c>
      <c r="B8" s="1"/>
      <c r="C8" s="6">
        <v>6</v>
      </c>
    </row>
    <row r="9" spans="1:6" ht="18" customHeight="1" x14ac:dyDescent="0.25">
      <c r="A9" s="1"/>
      <c r="B9" s="1"/>
      <c r="C9" s="6"/>
    </row>
    <row r="10" spans="1:6" ht="18" customHeight="1" x14ac:dyDescent="0.25">
      <c r="A10" s="1"/>
      <c r="B10" s="1"/>
      <c r="C10" s="6"/>
    </row>
    <row r="11" spans="1:6" ht="18" customHeight="1" x14ac:dyDescent="0.25">
      <c r="A11" s="1"/>
      <c r="B11" s="1"/>
      <c r="C11" s="6"/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350</v>
      </c>
      <c r="B19" s="2"/>
      <c r="C19" s="7">
        <f>SUM(C5:C18)</f>
        <v>9.5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300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351</v>
      </c>
      <c r="B24" s="1" t="s">
        <v>34</v>
      </c>
      <c r="C24" s="6">
        <v>1</v>
      </c>
    </row>
    <row r="25" spans="1:6" ht="18" customHeight="1" x14ac:dyDescent="0.25">
      <c r="A25" s="1" t="s">
        <v>352</v>
      </c>
      <c r="B25" s="1" t="s">
        <v>353</v>
      </c>
      <c r="C25" s="6">
        <v>1.5</v>
      </c>
    </row>
    <row r="26" spans="1:6" ht="18" customHeight="1" x14ac:dyDescent="0.25">
      <c r="A26" s="1" t="s">
        <v>354</v>
      </c>
      <c r="B26" s="1" t="s">
        <v>353</v>
      </c>
      <c r="C26" s="6">
        <v>1</v>
      </c>
    </row>
    <row r="27" spans="1:6" ht="18" customHeight="1" x14ac:dyDescent="0.25">
      <c r="A27" s="1" t="s">
        <v>355</v>
      </c>
      <c r="B27" s="1" t="s">
        <v>353</v>
      </c>
      <c r="C27" s="6">
        <v>2</v>
      </c>
    </row>
    <row r="28" spans="1:6" ht="18" customHeight="1" x14ac:dyDescent="0.25">
      <c r="A28" s="1" t="s">
        <v>356</v>
      </c>
      <c r="B28" s="1" t="s">
        <v>357</v>
      </c>
      <c r="C28" s="6">
        <v>3</v>
      </c>
    </row>
    <row r="29" spans="1:6" ht="18" customHeight="1" x14ac:dyDescent="0.25">
      <c r="A29" s="1" t="s">
        <v>358</v>
      </c>
      <c r="B29" s="1" t="s">
        <v>318</v>
      </c>
      <c r="C29" s="6">
        <v>3.5</v>
      </c>
    </row>
    <row r="30" spans="1:6" ht="18" customHeight="1" x14ac:dyDescent="0.25">
      <c r="A30" s="1" t="s">
        <v>359</v>
      </c>
      <c r="B30" s="1" t="s">
        <v>357</v>
      </c>
      <c r="C30" s="6">
        <v>2</v>
      </c>
    </row>
    <row r="31" spans="1:6" ht="18" customHeight="1" x14ac:dyDescent="0.25">
      <c r="A31" s="1" t="s">
        <v>360</v>
      </c>
      <c r="B31" s="1" t="s">
        <v>318</v>
      </c>
      <c r="C31" s="6">
        <v>3</v>
      </c>
    </row>
    <row r="32" spans="1:6" ht="18" customHeight="1" x14ac:dyDescent="0.25">
      <c r="A32" s="1" t="s">
        <v>361</v>
      </c>
      <c r="B32" s="1" t="s">
        <v>318</v>
      </c>
      <c r="C32" s="6">
        <v>1</v>
      </c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18</v>
      </c>
      <c r="B38" s="2"/>
      <c r="C38" s="7">
        <f>SUM(C24:C37)</f>
        <v>18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351</v>
      </c>
      <c r="B43" s="1" t="s">
        <v>34</v>
      </c>
      <c r="C43" s="6">
        <v>1</v>
      </c>
    </row>
    <row r="44" spans="1:6" ht="18" customHeight="1" x14ac:dyDescent="0.25">
      <c r="A44" s="1" t="s">
        <v>352</v>
      </c>
      <c r="B44" s="1" t="s">
        <v>333</v>
      </c>
      <c r="C44" s="6">
        <v>2</v>
      </c>
    </row>
    <row r="45" spans="1:6" ht="18" customHeight="1" x14ac:dyDescent="0.25">
      <c r="A45" s="1" t="s">
        <v>355</v>
      </c>
      <c r="B45" s="1" t="s">
        <v>333</v>
      </c>
      <c r="C45" s="6">
        <v>1</v>
      </c>
    </row>
    <row r="46" spans="1:6" ht="18" customHeight="1" x14ac:dyDescent="0.25">
      <c r="A46" s="1" t="s">
        <v>362</v>
      </c>
      <c r="B46" s="1" t="s">
        <v>333</v>
      </c>
      <c r="C46" s="6">
        <v>2</v>
      </c>
    </row>
    <row r="47" spans="1:6" ht="18" customHeight="1" x14ac:dyDescent="0.25">
      <c r="A47" s="1" t="s">
        <v>363</v>
      </c>
      <c r="B47" s="1" t="s">
        <v>333</v>
      </c>
      <c r="C47" s="6">
        <v>4</v>
      </c>
    </row>
    <row r="48" spans="1:6" ht="18" customHeight="1" x14ac:dyDescent="0.25">
      <c r="A48" s="1" t="s">
        <v>364</v>
      </c>
      <c r="B48" s="1" t="s">
        <v>318</v>
      </c>
      <c r="C48" s="6">
        <v>5</v>
      </c>
    </row>
    <row r="49" spans="1:6" ht="18" customHeight="1" x14ac:dyDescent="0.25">
      <c r="A49" s="1" t="s">
        <v>365</v>
      </c>
      <c r="B49" s="1" t="s">
        <v>333</v>
      </c>
      <c r="C49" s="6">
        <v>1</v>
      </c>
    </row>
    <row r="50" spans="1:6" ht="18" customHeight="1" x14ac:dyDescent="0.25">
      <c r="A50" s="1" t="s">
        <v>366</v>
      </c>
      <c r="B50" s="1" t="s">
        <v>333</v>
      </c>
      <c r="C50" s="6">
        <v>1.5</v>
      </c>
    </row>
    <row r="51" spans="1:6" ht="18" customHeight="1" x14ac:dyDescent="0.25">
      <c r="A51" s="1" t="s">
        <v>367</v>
      </c>
      <c r="B51" s="1" t="s">
        <v>318</v>
      </c>
      <c r="C51" s="6">
        <v>2</v>
      </c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18</v>
      </c>
      <c r="B57" s="2"/>
      <c r="C57" s="7">
        <f>SUM(C43:C56)</f>
        <v>19.5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5855-1951-4FB9-B902-8188F2DDCA38}">
  <dimension ref="A1:F57"/>
  <sheetViews>
    <sheetView topLeftCell="A23" workbookViewId="0">
      <selection activeCell="E31" sqref="E31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368</v>
      </c>
      <c r="B5" s="1"/>
      <c r="C5" s="6">
        <v>5</v>
      </c>
    </row>
    <row r="6" spans="1:6" ht="18" customHeight="1" x14ac:dyDescent="0.25">
      <c r="A6" s="1" t="s">
        <v>369</v>
      </c>
      <c r="B6" s="1"/>
      <c r="C6" s="6">
        <v>4</v>
      </c>
    </row>
    <row r="7" spans="1:6" ht="18" customHeight="1" x14ac:dyDescent="0.25">
      <c r="A7" s="1" t="s">
        <v>370</v>
      </c>
      <c r="B7" s="1"/>
      <c r="C7" s="6">
        <v>1</v>
      </c>
    </row>
    <row r="8" spans="1:6" ht="18" customHeight="1" x14ac:dyDescent="0.25">
      <c r="A8" s="1" t="s">
        <v>371</v>
      </c>
      <c r="B8" s="1"/>
      <c r="C8" s="6">
        <v>5</v>
      </c>
    </row>
    <row r="9" spans="1:6" ht="18" customHeight="1" x14ac:dyDescent="0.25">
      <c r="A9" s="1" t="s">
        <v>372</v>
      </c>
      <c r="B9" s="1"/>
      <c r="C9" s="6">
        <v>4</v>
      </c>
    </row>
    <row r="10" spans="1:6" ht="18" customHeight="1" x14ac:dyDescent="0.25">
      <c r="A10" s="1" t="s">
        <v>373</v>
      </c>
      <c r="B10" s="1"/>
      <c r="C10" s="6">
        <v>3</v>
      </c>
    </row>
    <row r="11" spans="1:6" ht="18" customHeight="1" x14ac:dyDescent="0.25">
      <c r="A11" s="1" t="s">
        <v>374</v>
      </c>
      <c r="B11" s="1"/>
      <c r="C11" s="6">
        <v>4</v>
      </c>
    </row>
    <row r="12" spans="1:6" ht="18" customHeight="1" x14ac:dyDescent="0.25">
      <c r="A12" s="1"/>
      <c r="B12" s="1"/>
      <c r="C12" s="6"/>
    </row>
    <row r="13" spans="1:6" ht="18" customHeight="1" x14ac:dyDescent="0.25">
      <c r="A13" s="1"/>
      <c r="B13" s="1"/>
      <c r="C13" s="6"/>
    </row>
    <row r="14" spans="1:6" ht="18" customHeight="1" x14ac:dyDescent="0.25">
      <c r="A14" s="1"/>
      <c r="B14" s="1"/>
      <c r="C14" s="6"/>
    </row>
    <row r="15" spans="1:6" ht="18" customHeight="1" x14ac:dyDescent="0.25">
      <c r="A15" s="1"/>
      <c r="B15" s="1"/>
      <c r="C15" s="6"/>
    </row>
    <row r="16" spans="1:6" ht="18" customHeight="1" x14ac:dyDescent="0.25">
      <c r="A16" s="1"/>
      <c r="B16" s="1"/>
      <c r="C16" s="6"/>
    </row>
    <row r="17" spans="1:6" ht="18" customHeight="1" x14ac:dyDescent="0.25">
      <c r="A17" s="1"/>
      <c r="B17" s="1"/>
      <c r="C17" s="6"/>
    </row>
    <row r="18" spans="1:6" ht="18" customHeight="1" x14ac:dyDescent="0.25">
      <c r="A18" s="1"/>
      <c r="B18" s="1"/>
      <c r="C18" s="6"/>
    </row>
    <row r="19" spans="1:6" s="4" customFormat="1" ht="18" customHeight="1" x14ac:dyDescent="0.25">
      <c r="A19" s="2" t="s">
        <v>375</v>
      </c>
      <c r="B19" s="2"/>
      <c r="C19" s="7">
        <f>SUM(C5:C18)</f>
        <v>26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300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376</v>
      </c>
      <c r="B24" s="1" t="s">
        <v>318</v>
      </c>
      <c r="C24" s="6">
        <v>5</v>
      </c>
    </row>
    <row r="25" spans="1:6" ht="18" customHeight="1" x14ac:dyDescent="0.25">
      <c r="A25" s="1" t="s">
        <v>377</v>
      </c>
      <c r="B25" s="1" t="s">
        <v>318</v>
      </c>
      <c r="C25" s="6">
        <v>2</v>
      </c>
    </row>
    <row r="26" spans="1:6" ht="18" customHeight="1" x14ac:dyDescent="0.25">
      <c r="A26" s="1" t="s">
        <v>378</v>
      </c>
      <c r="B26" s="1" t="s">
        <v>353</v>
      </c>
      <c r="C26" s="6">
        <v>2</v>
      </c>
    </row>
    <row r="27" spans="1:6" ht="18" customHeight="1" x14ac:dyDescent="0.25">
      <c r="A27" s="1" t="s">
        <v>379</v>
      </c>
      <c r="B27" s="1" t="s">
        <v>353</v>
      </c>
      <c r="C27" s="6">
        <v>3</v>
      </c>
    </row>
    <row r="28" spans="1:6" ht="18" customHeight="1" x14ac:dyDescent="0.25">
      <c r="A28" s="1" t="s">
        <v>380</v>
      </c>
      <c r="B28" s="1" t="s">
        <v>318</v>
      </c>
      <c r="C28" s="6">
        <v>3</v>
      </c>
    </row>
    <row r="29" spans="1:6" ht="18" customHeight="1" x14ac:dyDescent="0.25">
      <c r="A29" s="1" t="s">
        <v>381</v>
      </c>
      <c r="B29" s="1" t="s">
        <v>357</v>
      </c>
      <c r="C29" s="6">
        <v>2</v>
      </c>
    </row>
    <row r="30" spans="1:6" ht="18" customHeight="1" x14ac:dyDescent="0.25">
      <c r="A30" s="1" t="s">
        <v>382</v>
      </c>
      <c r="B30" s="1" t="s">
        <v>353</v>
      </c>
      <c r="C30" s="6">
        <v>4</v>
      </c>
    </row>
    <row r="31" spans="1:6" ht="18" customHeight="1" x14ac:dyDescent="0.25">
      <c r="A31" s="1" t="s">
        <v>373</v>
      </c>
      <c r="B31" s="1" t="s">
        <v>353</v>
      </c>
      <c r="C31" s="6">
        <v>3</v>
      </c>
    </row>
    <row r="32" spans="1:6" ht="18" customHeight="1" x14ac:dyDescent="0.25">
      <c r="A32" s="1"/>
      <c r="B32" s="1"/>
      <c r="C32" s="6"/>
    </row>
    <row r="33" spans="1:6" ht="18" customHeight="1" x14ac:dyDescent="0.25">
      <c r="A33" s="1"/>
      <c r="B33" s="1"/>
      <c r="C33" s="6"/>
    </row>
    <row r="34" spans="1:6" ht="18" customHeight="1" x14ac:dyDescent="0.25">
      <c r="A34" s="1"/>
      <c r="B34" s="1"/>
      <c r="C34" s="6"/>
    </row>
    <row r="35" spans="1:6" ht="18" customHeight="1" x14ac:dyDescent="0.25">
      <c r="A35" s="1"/>
      <c r="B35" s="1"/>
      <c r="C35" s="6"/>
    </row>
    <row r="36" spans="1:6" ht="18" customHeight="1" x14ac:dyDescent="0.25">
      <c r="A36" s="1"/>
      <c r="B36" s="1"/>
      <c r="C36" s="6"/>
    </row>
    <row r="37" spans="1:6" ht="18" customHeight="1" x14ac:dyDescent="0.25">
      <c r="A37" s="1"/>
      <c r="B37" s="1"/>
      <c r="C37" s="6"/>
    </row>
    <row r="38" spans="1:6" s="4" customFormat="1" ht="18" customHeight="1" x14ac:dyDescent="0.25">
      <c r="A38" s="2" t="str">
        <f>A19</f>
        <v>Ukesum uke 19</v>
      </c>
      <c r="B38" s="2"/>
      <c r="C38" s="7">
        <f>SUM(C24:C37)</f>
        <v>24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383</v>
      </c>
      <c r="B43" s="1" t="s">
        <v>318</v>
      </c>
      <c r="C43" s="6">
        <v>2</v>
      </c>
    </row>
    <row r="44" spans="1:6" ht="18" customHeight="1" x14ac:dyDescent="0.25">
      <c r="A44" s="1" t="s">
        <v>384</v>
      </c>
      <c r="B44" s="1" t="s">
        <v>385</v>
      </c>
      <c r="C44" s="6">
        <v>2</v>
      </c>
    </row>
    <row r="45" spans="1:6" ht="18" customHeight="1" x14ac:dyDescent="0.25">
      <c r="A45" s="1" t="s">
        <v>378</v>
      </c>
      <c r="B45" s="1" t="s">
        <v>385</v>
      </c>
      <c r="C45" s="6">
        <v>3.5</v>
      </c>
    </row>
    <row r="46" spans="1:6" ht="18" customHeight="1" x14ac:dyDescent="0.25">
      <c r="A46" s="1" t="s">
        <v>379</v>
      </c>
      <c r="B46" s="1" t="s">
        <v>385</v>
      </c>
      <c r="C46" s="6">
        <v>3</v>
      </c>
    </row>
    <row r="47" spans="1:6" ht="18" customHeight="1" x14ac:dyDescent="0.25">
      <c r="A47" s="1" t="s">
        <v>386</v>
      </c>
      <c r="B47" s="1" t="s">
        <v>385</v>
      </c>
      <c r="C47" s="6">
        <v>3</v>
      </c>
    </row>
    <row r="48" spans="1:6" ht="18" customHeight="1" x14ac:dyDescent="0.25">
      <c r="A48" s="1" t="s">
        <v>387</v>
      </c>
      <c r="B48" s="1" t="s">
        <v>385</v>
      </c>
      <c r="C48" s="6">
        <v>3</v>
      </c>
    </row>
    <row r="49" spans="1:6" ht="18" customHeight="1" x14ac:dyDescent="0.25">
      <c r="A49" s="1" t="s">
        <v>382</v>
      </c>
      <c r="B49" s="1" t="s">
        <v>385</v>
      </c>
      <c r="C49" s="6">
        <v>4</v>
      </c>
    </row>
    <row r="50" spans="1:6" ht="18" customHeight="1" x14ac:dyDescent="0.25">
      <c r="A50" s="1" t="s">
        <v>388</v>
      </c>
      <c r="B50" s="1" t="s">
        <v>385</v>
      </c>
      <c r="C50" s="6">
        <v>4</v>
      </c>
    </row>
    <row r="51" spans="1:6" ht="18" customHeight="1" x14ac:dyDescent="0.25">
      <c r="A51" s="1" t="s">
        <v>389</v>
      </c>
      <c r="B51" s="1" t="s">
        <v>26</v>
      </c>
      <c r="C51" s="6">
        <v>1.5</v>
      </c>
    </row>
    <row r="52" spans="1:6" ht="18" customHeight="1" x14ac:dyDescent="0.25">
      <c r="A52" s="1"/>
      <c r="B52" s="1"/>
      <c r="C52" s="6"/>
    </row>
    <row r="53" spans="1:6" ht="18" customHeight="1" x14ac:dyDescent="0.25">
      <c r="A53" s="1"/>
      <c r="B53" s="1"/>
      <c r="C53" s="6"/>
    </row>
    <row r="54" spans="1:6" ht="18" customHeight="1" x14ac:dyDescent="0.25">
      <c r="A54" s="1"/>
      <c r="B54" s="1"/>
      <c r="C54" s="6"/>
    </row>
    <row r="55" spans="1:6" ht="18" customHeight="1" x14ac:dyDescent="0.25">
      <c r="A55" s="1"/>
      <c r="B55" s="1"/>
      <c r="C55" s="6"/>
    </row>
    <row r="56" spans="1:6" ht="18" customHeight="1" x14ac:dyDescent="0.25">
      <c r="A56" s="1"/>
      <c r="B56" s="1"/>
      <c r="C56" s="6"/>
    </row>
    <row r="57" spans="1:6" s="4" customFormat="1" ht="18" customHeight="1" x14ac:dyDescent="0.25">
      <c r="A57" s="2" t="str">
        <f>A19</f>
        <v>Ukesum uke 19</v>
      </c>
      <c r="B57" s="2"/>
      <c r="C57" s="7">
        <f>SUM(C43:C56)</f>
        <v>26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EA1A-08EA-4D8D-B582-270F822F5609}">
  <dimension ref="A1:F57"/>
  <sheetViews>
    <sheetView topLeftCell="A6" workbookViewId="0">
      <selection activeCell="C37" sqref="C37"/>
    </sheetView>
  </sheetViews>
  <sheetFormatPr baseColWidth="10" defaultColWidth="11.42578125" defaultRowHeight="18" customHeight="1" x14ac:dyDescent="0.25"/>
  <cols>
    <col min="1" max="2" width="51.85546875" customWidth="1"/>
    <col min="3" max="3" width="15.5703125" customWidth="1"/>
    <col min="6" max="6" width="105.140625" style="11" customWidth="1"/>
  </cols>
  <sheetData>
    <row r="1" spans="1:6" ht="24.75" customHeight="1" x14ac:dyDescent="0.35">
      <c r="A1" s="9" t="s">
        <v>15</v>
      </c>
      <c r="B1" s="9"/>
      <c r="F1" s="10" t="s">
        <v>16</v>
      </c>
    </row>
    <row r="2" spans="1:6" ht="30" customHeight="1" x14ac:dyDescent="0.25">
      <c r="F2" s="12" t="s">
        <v>17</v>
      </c>
    </row>
    <row r="3" spans="1:6" s="4" customFormat="1" ht="18" customHeight="1" x14ac:dyDescent="0.25">
      <c r="A3" s="27" t="s">
        <v>18</v>
      </c>
      <c r="B3" s="28"/>
      <c r="C3" s="8" t="s">
        <v>2</v>
      </c>
      <c r="F3" s="5"/>
    </row>
    <row r="4" spans="1:6" s="4" customFormat="1" ht="18" customHeight="1" x14ac:dyDescent="0.25">
      <c r="A4" s="8" t="s">
        <v>19</v>
      </c>
      <c r="B4" s="8" t="s">
        <v>20</v>
      </c>
      <c r="C4" s="8" t="s">
        <v>21</v>
      </c>
      <c r="F4" s="5"/>
    </row>
    <row r="5" spans="1:6" ht="18" customHeight="1" x14ac:dyDescent="0.25">
      <c r="A5" s="1" t="s">
        <v>390</v>
      </c>
      <c r="B5" s="1"/>
      <c r="C5" s="6">
        <v>1</v>
      </c>
    </row>
    <row r="6" spans="1:6" ht="18" customHeight="1" x14ac:dyDescent="0.25">
      <c r="A6" s="1" t="s">
        <v>391</v>
      </c>
      <c r="B6" s="1"/>
      <c r="C6" s="6">
        <v>2</v>
      </c>
    </row>
    <row r="7" spans="1:6" ht="18" customHeight="1" x14ac:dyDescent="0.25">
      <c r="A7" s="1" t="s">
        <v>392</v>
      </c>
      <c r="B7" s="1"/>
      <c r="C7" s="6">
        <v>1</v>
      </c>
    </row>
    <row r="8" spans="1:6" ht="18" customHeight="1" x14ac:dyDescent="0.25">
      <c r="A8" s="1" t="s">
        <v>393</v>
      </c>
      <c r="B8" s="1"/>
      <c r="C8" s="6">
        <v>1</v>
      </c>
    </row>
    <row r="9" spans="1:6" ht="18" customHeight="1" x14ac:dyDescent="0.25">
      <c r="A9" s="1" t="s">
        <v>394</v>
      </c>
      <c r="B9" s="1"/>
      <c r="C9" s="6">
        <v>4</v>
      </c>
    </row>
    <row r="10" spans="1:6" ht="18" customHeight="1" x14ac:dyDescent="0.25">
      <c r="A10" s="1" t="s">
        <v>395</v>
      </c>
      <c r="B10" s="1"/>
      <c r="C10" s="6">
        <v>2</v>
      </c>
    </row>
    <row r="11" spans="1:6" ht="18" customHeight="1" x14ac:dyDescent="0.25">
      <c r="A11" s="1" t="s">
        <v>396</v>
      </c>
      <c r="B11" s="1"/>
      <c r="C11" s="6">
        <v>4</v>
      </c>
    </row>
    <row r="12" spans="1:6" ht="18" customHeight="1" x14ac:dyDescent="0.25">
      <c r="A12" s="1" t="s">
        <v>397</v>
      </c>
      <c r="B12" s="1"/>
      <c r="C12" s="6">
        <v>3</v>
      </c>
    </row>
    <row r="13" spans="1:6" ht="18" customHeight="1" x14ac:dyDescent="0.25">
      <c r="A13" s="1" t="s">
        <v>398</v>
      </c>
      <c r="B13" s="1"/>
      <c r="C13" s="6">
        <v>2.5</v>
      </c>
    </row>
    <row r="14" spans="1:6" ht="18" customHeight="1" x14ac:dyDescent="0.25">
      <c r="A14" s="1" t="s">
        <v>399</v>
      </c>
      <c r="B14" s="1"/>
      <c r="C14" s="6">
        <v>5</v>
      </c>
    </row>
    <row r="15" spans="1:6" ht="18" customHeight="1" x14ac:dyDescent="0.25">
      <c r="A15" s="1" t="s">
        <v>400</v>
      </c>
      <c r="B15" s="1"/>
      <c r="C15" s="6">
        <v>5</v>
      </c>
    </row>
    <row r="16" spans="1:6" ht="18" customHeight="1" x14ac:dyDescent="0.25">
      <c r="A16" s="1" t="s">
        <v>401</v>
      </c>
      <c r="B16" s="1"/>
      <c r="C16" s="6">
        <v>5</v>
      </c>
    </row>
    <row r="17" spans="1:6" ht="18" customHeight="1" x14ac:dyDescent="0.25">
      <c r="A17" s="1" t="s">
        <v>402</v>
      </c>
      <c r="B17" s="1"/>
      <c r="C17" s="6">
        <v>2</v>
      </c>
    </row>
    <row r="18" spans="1:6" ht="18" customHeight="1" x14ac:dyDescent="0.25">
      <c r="A18" s="1" t="s">
        <v>403</v>
      </c>
      <c r="B18" s="1"/>
      <c r="C18" s="6">
        <v>10</v>
      </c>
    </row>
    <row r="19" spans="1:6" s="4" customFormat="1" ht="18" customHeight="1" x14ac:dyDescent="0.25">
      <c r="A19" s="2" t="s">
        <v>404</v>
      </c>
      <c r="B19" s="2"/>
      <c r="C19" s="7">
        <f>SUM(C5:C18)</f>
        <v>47.5</v>
      </c>
      <c r="F19" s="5"/>
    </row>
    <row r="22" spans="1:6" s="4" customFormat="1" ht="18" customHeight="1" x14ac:dyDescent="0.25">
      <c r="A22" s="27" t="s">
        <v>18</v>
      </c>
      <c r="B22" s="28"/>
      <c r="C22" s="8" t="s">
        <v>3</v>
      </c>
      <c r="F22" s="5"/>
    </row>
    <row r="23" spans="1:6" s="4" customFormat="1" ht="18" customHeight="1" x14ac:dyDescent="0.25">
      <c r="A23" s="8" t="s">
        <v>19</v>
      </c>
      <c r="B23" s="8" t="s">
        <v>20</v>
      </c>
      <c r="C23" s="8" t="s">
        <v>21</v>
      </c>
      <c r="F23" s="5"/>
    </row>
    <row r="24" spans="1:6" ht="18" customHeight="1" x14ac:dyDescent="0.25">
      <c r="A24" s="1" t="s">
        <v>390</v>
      </c>
      <c r="B24" s="1" t="s">
        <v>34</v>
      </c>
      <c r="C24" s="6">
        <v>1</v>
      </c>
    </row>
    <row r="25" spans="1:6" ht="18" customHeight="1" x14ac:dyDescent="0.25">
      <c r="A25" s="1" t="s">
        <v>392</v>
      </c>
      <c r="B25" s="1" t="s">
        <v>353</v>
      </c>
      <c r="C25" s="6">
        <v>2</v>
      </c>
    </row>
    <row r="26" spans="1:6" ht="18" customHeight="1" x14ac:dyDescent="0.25">
      <c r="A26" s="1" t="s">
        <v>405</v>
      </c>
      <c r="B26" s="1" t="s">
        <v>406</v>
      </c>
      <c r="C26" s="6">
        <v>3</v>
      </c>
    </row>
    <row r="27" spans="1:6" ht="18" customHeight="1" x14ac:dyDescent="0.25">
      <c r="A27" s="1" t="s">
        <v>407</v>
      </c>
      <c r="B27" s="1" t="s">
        <v>34</v>
      </c>
      <c r="C27" s="6">
        <v>1</v>
      </c>
    </row>
    <row r="28" spans="1:6" ht="18" customHeight="1" x14ac:dyDescent="0.25">
      <c r="A28" s="1" t="s">
        <v>408</v>
      </c>
      <c r="B28" s="1" t="s">
        <v>34</v>
      </c>
      <c r="C28" s="6">
        <v>1</v>
      </c>
    </row>
    <row r="29" spans="1:6" ht="18" customHeight="1" x14ac:dyDescent="0.25">
      <c r="A29" s="1" t="s">
        <v>409</v>
      </c>
      <c r="B29" s="1" t="s">
        <v>353</v>
      </c>
      <c r="C29" s="6">
        <v>1.5</v>
      </c>
    </row>
    <row r="30" spans="1:6" ht="18" customHeight="1" x14ac:dyDescent="0.25">
      <c r="A30" s="1" t="s">
        <v>410</v>
      </c>
      <c r="B30" s="1" t="s">
        <v>357</v>
      </c>
      <c r="C30" s="6">
        <v>3.5</v>
      </c>
    </row>
    <row r="31" spans="1:6" ht="18" customHeight="1" x14ac:dyDescent="0.25">
      <c r="A31" s="1" t="s">
        <v>411</v>
      </c>
      <c r="B31" s="1" t="s">
        <v>353</v>
      </c>
      <c r="C31" s="6">
        <v>3.5</v>
      </c>
    </row>
    <row r="32" spans="1:6" ht="18" customHeight="1" x14ac:dyDescent="0.25">
      <c r="A32" s="1" t="s">
        <v>412</v>
      </c>
      <c r="B32" s="1" t="s">
        <v>357</v>
      </c>
      <c r="C32" s="6">
        <v>2</v>
      </c>
    </row>
    <row r="33" spans="1:6" ht="18" customHeight="1" x14ac:dyDescent="0.25">
      <c r="A33" s="1" t="s">
        <v>413</v>
      </c>
      <c r="B33" s="1"/>
      <c r="C33" s="6">
        <v>2.5</v>
      </c>
    </row>
    <row r="34" spans="1:6" ht="18" customHeight="1" x14ac:dyDescent="0.25">
      <c r="A34" s="1" t="s">
        <v>414</v>
      </c>
      <c r="B34" s="1"/>
      <c r="C34" s="6">
        <v>3</v>
      </c>
    </row>
    <row r="35" spans="1:6" ht="18" customHeight="1" x14ac:dyDescent="0.25">
      <c r="A35" s="1" t="s">
        <v>415</v>
      </c>
      <c r="B35" s="1"/>
      <c r="C35" s="6">
        <v>6</v>
      </c>
    </row>
    <row r="36" spans="1:6" ht="18" customHeight="1" x14ac:dyDescent="0.25">
      <c r="A36" s="1" t="s">
        <v>416</v>
      </c>
      <c r="B36" s="1"/>
      <c r="C36" s="6">
        <v>5</v>
      </c>
    </row>
    <row r="37" spans="1:6" ht="18" customHeight="1" x14ac:dyDescent="0.25">
      <c r="A37" s="1" t="s">
        <v>417</v>
      </c>
      <c r="B37" s="1"/>
      <c r="C37" s="6">
        <v>4</v>
      </c>
    </row>
    <row r="38" spans="1:6" s="4" customFormat="1" ht="18" customHeight="1" x14ac:dyDescent="0.25">
      <c r="A38" s="2" t="str">
        <f>A19</f>
        <v>Ukesum uke 20</v>
      </c>
      <c r="B38" s="2"/>
      <c r="C38" s="7">
        <f>SUM(C24:C37)</f>
        <v>39</v>
      </c>
      <c r="F38" s="5"/>
    </row>
    <row r="41" spans="1:6" s="4" customFormat="1" ht="18" customHeight="1" x14ac:dyDescent="0.25">
      <c r="A41" s="27" t="s">
        <v>18</v>
      </c>
      <c r="B41" s="28"/>
      <c r="C41" s="8" t="s">
        <v>4</v>
      </c>
      <c r="F41" s="5"/>
    </row>
    <row r="42" spans="1:6" s="4" customFormat="1" ht="18" customHeight="1" x14ac:dyDescent="0.25">
      <c r="A42" s="8" t="s">
        <v>19</v>
      </c>
      <c r="B42" s="8" t="s">
        <v>20</v>
      </c>
      <c r="C42" s="8" t="s">
        <v>21</v>
      </c>
      <c r="F42" s="5"/>
    </row>
    <row r="43" spans="1:6" ht="18" customHeight="1" x14ac:dyDescent="0.25">
      <c r="A43" s="1" t="s">
        <v>390</v>
      </c>
      <c r="B43" s="1" t="s">
        <v>34</v>
      </c>
      <c r="C43" s="6">
        <v>1</v>
      </c>
    </row>
    <row r="44" spans="1:6" ht="18" customHeight="1" x14ac:dyDescent="0.25">
      <c r="A44" s="1" t="s">
        <v>392</v>
      </c>
      <c r="B44" s="1" t="s">
        <v>333</v>
      </c>
      <c r="C44" s="6">
        <v>2</v>
      </c>
    </row>
    <row r="45" spans="1:6" ht="18" customHeight="1" x14ac:dyDescent="0.25">
      <c r="A45" s="1" t="s">
        <v>418</v>
      </c>
      <c r="B45" s="1" t="s">
        <v>34</v>
      </c>
      <c r="C45" s="6">
        <v>2</v>
      </c>
    </row>
    <row r="46" spans="1:6" ht="18" customHeight="1" x14ac:dyDescent="0.25">
      <c r="A46" s="1" t="s">
        <v>394</v>
      </c>
      <c r="B46" s="1" t="s">
        <v>419</v>
      </c>
      <c r="C46" s="6">
        <v>0.5</v>
      </c>
    </row>
    <row r="47" spans="1:6" ht="18" customHeight="1" x14ac:dyDescent="0.25">
      <c r="A47" s="1" t="s">
        <v>409</v>
      </c>
      <c r="B47" s="1" t="s">
        <v>333</v>
      </c>
      <c r="C47" s="6">
        <v>2</v>
      </c>
    </row>
    <row r="48" spans="1:6" ht="18" customHeight="1" x14ac:dyDescent="0.25">
      <c r="A48" s="1" t="s">
        <v>411</v>
      </c>
      <c r="B48" s="1" t="s">
        <v>333</v>
      </c>
      <c r="C48" s="6">
        <v>4</v>
      </c>
    </row>
    <row r="49" spans="1:6" ht="18" customHeight="1" x14ac:dyDescent="0.25">
      <c r="A49" s="1"/>
      <c r="B49" s="1"/>
      <c r="C49" s="6"/>
    </row>
    <row r="50" spans="1:6" ht="18" customHeight="1" x14ac:dyDescent="0.25">
      <c r="A50" s="1" t="s">
        <v>420</v>
      </c>
      <c r="B50" s="1" t="s">
        <v>421</v>
      </c>
      <c r="C50" s="6">
        <v>2.5</v>
      </c>
    </row>
    <row r="51" spans="1:6" ht="18" customHeight="1" x14ac:dyDescent="0.25">
      <c r="A51" s="1" t="s">
        <v>422</v>
      </c>
      <c r="B51" s="1" t="s">
        <v>333</v>
      </c>
      <c r="C51" s="6">
        <v>3</v>
      </c>
    </row>
    <row r="52" spans="1:6" ht="18" customHeight="1" x14ac:dyDescent="0.25">
      <c r="A52" s="1" t="s">
        <v>423</v>
      </c>
      <c r="B52" s="1" t="s">
        <v>333</v>
      </c>
      <c r="C52" s="6">
        <v>5.5</v>
      </c>
    </row>
    <row r="53" spans="1:6" ht="18" customHeight="1" x14ac:dyDescent="0.25">
      <c r="A53" s="1" t="s">
        <v>424</v>
      </c>
      <c r="B53" s="1" t="s">
        <v>333</v>
      </c>
      <c r="C53" s="6">
        <v>5</v>
      </c>
    </row>
    <row r="54" spans="1:6" ht="18" customHeight="1" x14ac:dyDescent="0.25">
      <c r="A54" s="1" t="s">
        <v>425</v>
      </c>
      <c r="B54" s="1" t="s">
        <v>333</v>
      </c>
      <c r="C54" s="6">
        <v>4</v>
      </c>
    </row>
    <row r="55" spans="1:6" ht="18" customHeight="1" x14ac:dyDescent="0.25">
      <c r="A55" s="1" t="s">
        <v>426</v>
      </c>
      <c r="B55" s="1" t="s">
        <v>333</v>
      </c>
      <c r="C55" s="6">
        <v>5</v>
      </c>
    </row>
    <row r="56" spans="1:6" ht="18" customHeight="1" x14ac:dyDescent="0.25">
      <c r="A56" s="1" t="s">
        <v>427</v>
      </c>
      <c r="B56" s="1" t="s">
        <v>333</v>
      </c>
      <c r="C56" s="6">
        <v>3</v>
      </c>
    </row>
    <row r="57" spans="1:6" s="4" customFormat="1" ht="18" customHeight="1" x14ac:dyDescent="0.25">
      <c r="A57" s="2" t="str">
        <f>A19</f>
        <v>Ukesum uke 20</v>
      </c>
      <c r="B57" s="2"/>
      <c r="C57" s="7">
        <f>SUM(C43:C56)</f>
        <v>39.5</v>
      </c>
      <c r="F57" s="5"/>
    </row>
  </sheetData>
  <mergeCells count="3">
    <mergeCell ref="A3:B3"/>
    <mergeCell ref="A22:B22"/>
    <mergeCell ref="A41:B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DCE7591AD9940ACB84E2B87A6DB1C" ma:contentTypeVersion="8" ma:contentTypeDescription="Create a new document." ma:contentTypeScope="" ma:versionID="39434dba253372cc8defdb2dff45cc4f">
  <xsd:schema xmlns:xsd="http://www.w3.org/2001/XMLSchema" xmlns:xs="http://www.w3.org/2001/XMLSchema" xmlns:p="http://schemas.microsoft.com/office/2006/metadata/properties" xmlns:ns3="6ec213de-0f8b-4d92-8785-027866576eb4" xmlns:ns4="1feca6aa-8d87-474a-94cd-7f7a3c95bfaf" targetNamespace="http://schemas.microsoft.com/office/2006/metadata/properties" ma:root="true" ma:fieldsID="71bcb85f995f8f4aa6c9b6501d3f5a7e" ns3:_="" ns4:_="">
    <xsd:import namespace="6ec213de-0f8b-4d92-8785-027866576eb4"/>
    <xsd:import namespace="1feca6aa-8d87-474a-94cd-7f7a3c95bf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c213de-0f8b-4d92-8785-027866576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ca6aa-8d87-474a-94cd-7f7a3c95bfa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c213de-0f8b-4d92-8785-027866576eb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F332DD-D0AB-469B-92CB-AA9225E65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c213de-0f8b-4d92-8785-027866576eb4"/>
    <ds:schemaRef ds:uri="1feca6aa-8d87-474a-94cd-7f7a3c95bf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E17E67-7EE9-4E11-BCE8-A6EC8C832590}">
  <ds:schemaRefs>
    <ds:schemaRef ds:uri="http://schemas.microsoft.com/office/2006/metadata/properties"/>
    <ds:schemaRef ds:uri="http://schemas.microsoft.com/office/infopath/2007/PartnerControls"/>
    <ds:schemaRef ds:uri="6ec213de-0f8b-4d92-8785-027866576eb4"/>
  </ds:schemaRefs>
</ds:datastoreItem>
</file>

<file path=customXml/itemProps3.xml><?xml version="1.0" encoding="utf-8"?>
<ds:datastoreItem xmlns:ds="http://schemas.openxmlformats.org/officeDocument/2006/customXml" ds:itemID="{7DD1E7F3-6731-43BA-B08D-4286D3F29A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20</vt:i4>
      </vt:variant>
    </vt:vector>
  </HeadingPairs>
  <TitlesOfParts>
    <vt:vector size="20" baseType="lpstr">
      <vt:lpstr>Oppsummering</vt:lpstr>
      <vt:lpstr>Uke 2</vt:lpstr>
      <vt:lpstr>Uke 3</vt:lpstr>
      <vt:lpstr>Uke 4</vt:lpstr>
      <vt:lpstr>Uke 5</vt:lpstr>
      <vt:lpstr>Uke 6</vt:lpstr>
      <vt:lpstr>Uke 7</vt:lpstr>
      <vt:lpstr>Uke 8</vt:lpstr>
      <vt:lpstr>Uke 9</vt:lpstr>
      <vt:lpstr>Uke 10</vt:lpstr>
      <vt:lpstr>Uke 11</vt:lpstr>
      <vt:lpstr>Uke 12</vt:lpstr>
      <vt:lpstr>Uke 13</vt:lpstr>
      <vt:lpstr>Uke 14</vt:lpstr>
      <vt:lpstr>Uke 15</vt:lpstr>
      <vt:lpstr>Uke 16</vt:lpstr>
      <vt:lpstr>Uke 17</vt:lpstr>
      <vt:lpstr>Uke 18</vt:lpstr>
      <vt:lpstr>Uke 19</vt:lpstr>
      <vt:lpstr>Uke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monisto</dc:creator>
  <cp:keywords/>
  <dc:description/>
  <cp:lastModifiedBy>Brage Solem</cp:lastModifiedBy>
  <cp:revision/>
  <dcterms:created xsi:type="dcterms:W3CDTF">2021-09-28T08:18:03Z</dcterms:created>
  <dcterms:modified xsi:type="dcterms:W3CDTF">2026-05-19T19:13:09Z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0x010100FD1DCE7591AD9940ACB84E2B87A6DB1C</vt:lpwstr>
  </property>
</Properties>
</file>